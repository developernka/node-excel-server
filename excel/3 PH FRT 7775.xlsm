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KA\Dev-nka\Web\excel\excel\"/>
    </mc:Choice>
  </mc:AlternateContent>
  <bookViews>
    <workbookView xWindow="-15" yWindow="-15" windowWidth="9615" windowHeight="12105"/>
  </bookViews>
  <sheets>
    <sheet name="TESTING" sheetId="1" r:id="rId1"/>
    <sheet name="input" sheetId="2" state="hidden" r:id="rId2"/>
    <sheet name="tr" sheetId="3" r:id="rId3"/>
    <sheet name="sod" sheetId="4" r:id="rId4"/>
    <sheet name="god" sheetId="5" r:id="rId5"/>
    <sheet name="CALCULATION" sheetId="6" r:id="rId6"/>
  </sheets>
  <definedNames>
    <definedName name="cell_rnd">TESTING!$H$29:$H$36,TESTING!$I$29:$I$36,TESTING!$H$38:$H$39,TESTING!$I$38:$I$39,TESTING!$H$43:$H$44,TESTING!$I$43:$I$44,TESTING!$D$47:$E$49</definedName>
    <definedName name="cell_seq" localSheetId="0">TESTING!$D$9:$D$16,TESTING!$H$8:$H$25,TESTING!$B$40:$B$43,TESTING!$D$40:$D$43,TESTING!$E$40:$E$43,TESTING!$H$26,TESTING!$H$29:$H$36,TESTING!$H$38:$H$39,TESTING!$H$43:$H$44,TESTING!$D$47:$D$49,TESTING!$I$29:$I$36,TESTING!$I$38:$I$39,TESTING!$I$43:$I$44,TESTING!$E$47:$E$49,TESTING!$D$25:$D$36</definedName>
    <definedName name="cidate">TESTING!$A$53</definedName>
    <definedName name="citestby">TESTING!$H$53</definedName>
    <definedName name="ciwitnessby">TESTING!$E$53</definedName>
    <definedName name="customer">TESTING!$C$53</definedName>
    <definedName name="ihdate">TESTING!$A$53</definedName>
    <definedName name="ihtestby">TESTING!$H$53</definedName>
    <definedName name="irbd_src">TESTING!$D$25:$D$36</definedName>
    <definedName name="_xlnm.Print_Area" localSheetId="1">input!$A$1:$H$91</definedName>
    <definedName name="_xlnm.Print_Area" localSheetId="0">TESTING!$A$1:$I$53</definedName>
    <definedName name="_xlnm.Print_Area" localSheetId="2">tr!$A$1:$H$130</definedName>
    <definedName name="_xlnm.Print_Titles" localSheetId="5">CALCULATION!$1:$5</definedName>
    <definedName name="_xlnm.Print_Titles" localSheetId="4">god!$1:$4</definedName>
    <definedName name="_xlnm.Print_Titles" localSheetId="3">sod!$1:$4</definedName>
    <definedName name="_xlnm.Print_Titles" localSheetId="2">tr!$1:$4</definedName>
    <definedName name="setno">TESTING!$G$5</definedName>
    <definedName name="setno2">TESTING!$G$6</definedName>
    <definedName name="setno3">TESTING!$G$7</definedName>
    <definedName name="slno">TESTING!$H$5</definedName>
    <definedName name="slno2">TESTING!$H$6</definedName>
    <definedName name="slno3">TESTING!$H$7</definedName>
    <definedName name="workorder">TESTING!$C$4</definedName>
  </definedNames>
  <calcPr calcId="162913"/>
</workbook>
</file>

<file path=xl/calcChain.xml><?xml version="1.0" encoding="utf-8"?>
<calcChain xmlns="http://schemas.openxmlformats.org/spreadsheetml/2006/main">
  <c r="B5" i="2" l="1"/>
  <c r="D15" i="3" s="1"/>
  <c r="C7" i="2" l="1"/>
  <c r="C6" i="2"/>
  <c r="D3" i="2"/>
  <c r="D4" i="2"/>
  <c r="D2" i="2"/>
  <c r="C3" i="2"/>
  <c r="C4" i="2"/>
  <c r="C2" i="2"/>
  <c r="B1" i="2"/>
  <c r="E86" i="2"/>
  <c r="E87" i="2"/>
  <c r="E85" i="2"/>
  <c r="D86" i="2"/>
  <c r="D87" i="2"/>
  <c r="D85" i="2"/>
  <c r="C86" i="2"/>
  <c r="C87" i="2"/>
  <c r="C85" i="2"/>
  <c r="D80" i="2"/>
  <c r="D79" i="2"/>
  <c r="C80" i="2"/>
  <c r="C79" i="2"/>
  <c r="D74" i="2"/>
  <c r="D73" i="2"/>
  <c r="C74" i="2"/>
  <c r="C73" i="2"/>
  <c r="D70" i="2"/>
  <c r="D71" i="2"/>
  <c r="D69" i="2"/>
  <c r="D68" i="2"/>
  <c r="D65" i="2"/>
  <c r="D66" i="2"/>
  <c r="D67" i="2"/>
  <c r="D64" i="2"/>
  <c r="C70" i="2"/>
  <c r="C71" i="2"/>
  <c r="C69" i="2"/>
  <c r="C68" i="2"/>
  <c r="C65" i="2"/>
  <c r="C66" i="2"/>
  <c r="C67" i="2"/>
  <c r="C64" i="2"/>
  <c r="B80" i="2"/>
  <c r="B79" i="2"/>
  <c r="B74" i="2"/>
  <c r="B73" i="2"/>
  <c r="B68" i="2"/>
  <c r="B70" i="2"/>
  <c r="B71" i="2"/>
  <c r="B69" i="2"/>
  <c r="B65" i="2"/>
  <c r="B66" i="2"/>
  <c r="B67" i="2"/>
  <c r="B64" i="2"/>
  <c r="E61" i="2"/>
  <c r="E54" i="2"/>
  <c r="E55" i="2"/>
  <c r="E56" i="2"/>
  <c r="E53" i="2"/>
  <c r="C54" i="2"/>
  <c r="C55" i="2"/>
  <c r="C56" i="2"/>
  <c r="C53" i="2"/>
  <c r="B54" i="2"/>
  <c r="B55" i="2"/>
  <c r="B56" i="2"/>
  <c r="B53" i="2"/>
  <c r="C34" i="2"/>
  <c r="C35" i="2"/>
  <c r="C36" i="2"/>
  <c r="C37" i="2"/>
  <c r="C38" i="2"/>
  <c r="C33" i="2"/>
  <c r="C31" i="2"/>
  <c r="C30" i="2"/>
  <c r="C22" i="2"/>
  <c r="C23" i="2"/>
  <c r="C24" i="2"/>
  <c r="C25" i="2"/>
  <c r="C26" i="2"/>
  <c r="C27" i="2"/>
  <c r="C28" i="2"/>
  <c r="C21" i="2"/>
  <c r="C20" i="2"/>
  <c r="E19" i="2"/>
  <c r="C11" i="2"/>
  <c r="C12" i="2"/>
  <c r="C13" i="2"/>
  <c r="C14" i="2"/>
  <c r="C15" i="2"/>
  <c r="C16" i="2"/>
  <c r="C17" i="2"/>
  <c r="C10" i="2"/>
  <c r="G1" i="2" l="1"/>
  <c r="D18" i="3" s="1"/>
  <c r="D427" i="6"/>
  <c r="D426" i="6"/>
  <c r="D422" i="6"/>
  <c r="D421" i="6"/>
  <c r="D417" i="6"/>
  <c r="D416" i="6"/>
  <c r="D413" i="6"/>
  <c r="D412" i="6"/>
  <c r="D409" i="6"/>
  <c r="D408" i="6"/>
  <c r="D382" i="6"/>
  <c r="D381" i="6"/>
  <c r="D377" i="6"/>
  <c r="D376" i="6"/>
  <c r="D354" i="6"/>
  <c r="D353" i="6"/>
  <c r="D349" i="6"/>
  <c r="D348" i="6"/>
  <c r="D328" i="6"/>
  <c r="D327" i="6"/>
  <c r="D323" i="6"/>
  <c r="D322" i="6"/>
  <c r="D302" i="6"/>
  <c r="D301" i="6"/>
  <c r="D296" i="6"/>
  <c r="D275" i="6"/>
  <c r="D274" i="6"/>
  <c r="D270" i="6"/>
  <c r="D269" i="6"/>
  <c r="D249" i="6"/>
  <c r="D248" i="6"/>
  <c r="D244" i="6"/>
  <c r="D243" i="6"/>
  <c r="D223" i="6"/>
  <c r="D222" i="6"/>
  <c r="D218" i="6"/>
  <c r="D217" i="6"/>
  <c r="D197" i="6"/>
  <c r="D196" i="6"/>
  <c r="D192" i="6"/>
  <c r="D191" i="6"/>
  <c r="D171" i="6"/>
  <c r="D170" i="6"/>
  <c r="D166" i="6"/>
  <c r="D165" i="6"/>
  <c r="D145" i="6"/>
  <c r="D144" i="6"/>
  <c r="G143" i="6"/>
  <c r="G169" i="6" s="1"/>
  <c r="D140" i="6"/>
  <c r="D139" i="6"/>
  <c r="D96" i="6"/>
  <c r="H117" i="6" s="1"/>
  <c r="E87" i="6"/>
  <c r="E83" i="6"/>
  <c r="E79" i="6"/>
  <c r="E75" i="6"/>
  <c r="E71" i="6"/>
  <c r="E67" i="6"/>
  <c r="E63" i="6"/>
  <c r="E59" i="6"/>
  <c r="E50" i="6"/>
  <c r="E45" i="6"/>
  <c r="E41" i="6"/>
  <c r="E37" i="6"/>
  <c r="E33" i="6"/>
  <c r="E29" i="6"/>
  <c r="D194" i="6" s="1"/>
  <c r="E25" i="6"/>
  <c r="D168" i="6" s="1"/>
  <c r="E21" i="6"/>
  <c r="D142" i="6" s="1"/>
  <c r="E17" i="6"/>
  <c r="E16" i="6"/>
  <c r="G141" i="6" s="1"/>
  <c r="G142" i="6" s="1"/>
  <c r="I4" i="6"/>
  <c r="F4" i="6"/>
  <c r="C4" i="6"/>
  <c r="D53" i="5"/>
  <c r="F48" i="5"/>
  <c r="D48" i="5"/>
  <c r="F46" i="5"/>
  <c r="D46" i="5"/>
  <c r="F44" i="5"/>
  <c r="D44" i="5"/>
  <c r="D36" i="5"/>
  <c r="D34" i="5"/>
  <c r="D32" i="5"/>
  <c r="D30" i="5"/>
  <c r="D28" i="5"/>
  <c r="D26" i="5"/>
  <c r="E24" i="5"/>
  <c r="D15" i="5"/>
  <c r="D13" i="5"/>
  <c r="G4" i="5"/>
  <c r="E4" i="5"/>
  <c r="B4" i="5"/>
  <c r="C6" i="5" s="1"/>
  <c r="D41" i="4"/>
  <c r="D36" i="4"/>
  <c r="C36" i="4"/>
  <c r="D34" i="4"/>
  <c r="C34" i="4"/>
  <c r="D26" i="4"/>
  <c r="D25" i="4"/>
  <c r="E24" i="4"/>
  <c r="D15" i="4"/>
  <c r="D13" i="4"/>
  <c r="G4" i="4"/>
  <c r="E4" i="4"/>
  <c r="B4" i="4"/>
  <c r="C6" i="4" s="1"/>
  <c r="E129" i="3"/>
  <c r="E128" i="3"/>
  <c r="E127" i="3"/>
  <c r="E126" i="3"/>
  <c r="E125" i="3"/>
  <c r="F118" i="3"/>
  <c r="C118" i="3"/>
  <c r="G117" i="3"/>
  <c r="D114" i="3"/>
  <c r="C114" i="3"/>
  <c r="B114" i="3"/>
  <c r="D112" i="3"/>
  <c r="C112" i="3"/>
  <c r="B112" i="3"/>
  <c r="D110" i="3"/>
  <c r="C110" i="3"/>
  <c r="B110" i="3"/>
  <c r="D108" i="3"/>
  <c r="C108" i="3"/>
  <c r="B108" i="3"/>
  <c r="D106" i="3"/>
  <c r="C106" i="3"/>
  <c r="B106" i="3"/>
  <c r="D104" i="3"/>
  <c r="C104" i="3"/>
  <c r="B104" i="3"/>
  <c r="D102" i="3"/>
  <c r="C102" i="3"/>
  <c r="B102" i="3"/>
  <c r="D100" i="3"/>
  <c r="C100" i="3"/>
  <c r="B100" i="3"/>
  <c r="D98" i="3"/>
  <c r="C98" i="3"/>
  <c r="B98" i="3"/>
  <c r="D96" i="3"/>
  <c r="C96" i="3"/>
  <c r="B96" i="3"/>
  <c r="D91" i="3"/>
  <c r="G80" i="3"/>
  <c r="E80" i="3"/>
  <c r="C80" i="3"/>
  <c r="G78" i="3"/>
  <c r="E78" i="3"/>
  <c r="C78" i="3"/>
  <c r="G76" i="3"/>
  <c r="E76" i="3"/>
  <c r="C76" i="3"/>
  <c r="G74" i="3"/>
  <c r="E74" i="3"/>
  <c r="C74" i="3"/>
  <c r="D67" i="3"/>
  <c r="D65" i="3"/>
  <c r="D63" i="3"/>
  <c r="D61" i="3"/>
  <c r="D59" i="3"/>
  <c r="D57" i="3"/>
  <c r="D55" i="3"/>
  <c r="D53" i="3"/>
  <c r="D51" i="3"/>
  <c r="E50" i="3"/>
  <c r="F42" i="3"/>
  <c r="F40" i="3"/>
  <c r="K38" i="3"/>
  <c r="J38" i="3"/>
  <c r="F38" i="3"/>
  <c r="K36" i="3"/>
  <c r="J36" i="3"/>
  <c r="F36" i="3"/>
  <c r="K34" i="3"/>
  <c r="J34" i="3"/>
  <c r="F34" i="3"/>
  <c r="K32" i="3"/>
  <c r="J32" i="3"/>
  <c r="F32" i="3"/>
  <c r="K30" i="3"/>
  <c r="J30" i="3"/>
  <c r="F30" i="3"/>
  <c r="K28" i="3"/>
  <c r="J28" i="3"/>
  <c r="F28" i="3"/>
  <c r="D17" i="3"/>
  <c r="D16" i="3"/>
  <c r="D14" i="4" s="1"/>
  <c r="D13" i="3"/>
  <c r="D12" i="3"/>
  <c r="D11" i="3"/>
  <c r="D10" i="3"/>
  <c r="G4" i="3"/>
  <c r="I5" i="6" s="1"/>
  <c r="E4" i="3"/>
  <c r="E18" i="3" s="1"/>
  <c r="B4" i="3"/>
  <c r="C5" i="3" s="1"/>
  <c r="D72" i="2"/>
  <c r="D63" i="2"/>
  <c r="D326" i="6" s="1"/>
  <c r="D51" i="2"/>
  <c r="E111" i="6" s="1"/>
  <c r="E106" i="3" l="1"/>
  <c r="F26" i="4"/>
  <c r="E98" i="3"/>
  <c r="D423" i="6"/>
  <c r="F55" i="3"/>
  <c r="I154" i="6"/>
  <c r="D428" i="6"/>
  <c r="F78" i="3"/>
  <c r="F100" i="3"/>
  <c r="E104" i="3"/>
  <c r="F110" i="3"/>
  <c r="F36" i="4"/>
  <c r="F32" i="5"/>
  <c r="D188" i="6"/>
  <c r="G319" i="6"/>
  <c r="G423" i="6"/>
  <c r="F424" i="6" s="1"/>
  <c r="F80" i="3"/>
  <c r="F63" i="3"/>
  <c r="F74" i="3"/>
  <c r="G114" i="3"/>
  <c r="E112" i="3"/>
  <c r="D214" i="6"/>
  <c r="G292" i="6"/>
  <c r="D345" i="6"/>
  <c r="D410" i="6"/>
  <c r="D418" i="6"/>
  <c r="F53" i="3"/>
  <c r="F59" i="3"/>
  <c r="E100" i="3"/>
  <c r="F28" i="5"/>
  <c r="F36" i="5"/>
  <c r="H18" i="6"/>
  <c r="F61" i="3"/>
  <c r="F67" i="3"/>
  <c r="E114" i="3"/>
  <c r="D414" i="6"/>
  <c r="G98" i="3"/>
  <c r="F51" i="3"/>
  <c r="F57" i="3"/>
  <c r="G96" i="3"/>
  <c r="F106" i="3"/>
  <c r="F108" i="3"/>
  <c r="E110" i="3"/>
  <c r="F34" i="4"/>
  <c r="F30" i="5"/>
  <c r="G44" i="5"/>
  <c r="H44" i="5" s="1"/>
  <c r="G48" i="5"/>
  <c r="H48" i="5" s="1"/>
  <c r="G188" i="6"/>
  <c r="G410" i="6"/>
  <c r="G418" i="6"/>
  <c r="F419" i="6" s="1"/>
  <c r="G112" i="3"/>
  <c r="G102" i="3"/>
  <c r="G104" i="3"/>
  <c r="F65" i="3"/>
  <c r="F76" i="3"/>
  <c r="E96" i="3"/>
  <c r="F102" i="3"/>
  <c r="E108" i="3"/>
  <c r="G110" i="3"/>
  <c r="F114" i="3"/>
  <c r="F26" i="5"/>
  <c r="F34" i="5"/>
  <c r="G46" i="5"/>
  <c r="H46" i="5" s="1"/>
  <c r="D162" i="6"/>
  <c r="D292" i="6"/>
  <c r="D319" i="6"/>
  <c r="G345" i="6"/>
  <c r="G414" i="6"/>
  <c r="I331" i="6"/>
  <c r="D331" i="6"/>
  <c r="F98" i="3"/>
  <c r="G100" i="3"/>
  <c r="G108" i="3"/>
  <c r="D14" i="5"/>
  <c r="E20" i="6"/>
  <c r="D325" i="6"/>
  <c r="E103" i="6"/>
  <c r="D246" i="6"/>
  <c r="G371" i="6"/>
  <c r="D371" i="6"/>
  <c r="D76" i="3"/>
  <c r="H76" i="3" s="1"/>
  <c r="D80" i="3"/>
  <c r="H80" i="3" s="1"/>
  <c r="D352" i="6"/>
  <c r="D357" i="6" s="1"/>
  <c r="D221" i="6"/>
  <c r="D226" i="6" s="1"/>
  <c r="D169" i="6"/>
  <c r="G174" i="6" s="1"/>
  <c r="D380" i="6"/>
  <c r="I385" i="6" s="1"/>
  <c r="D247" i="6"/>
  <c r="I252" i="6" s="1"/>
  <c r="D143" i="6"/>
  <c r="G148" i="6" s="1"/>
  <c r="D300" i="6"/>
  <c r="I305" i="6" s="1"/>
  <c r="D273" i="6"/>
  <c r="I278" i="6" s="1"/>
  <c r="D74" i="3"/>
  <c r="H74" i="3" s="1"/>
  <c r="D78" i="3"/>
  <c r="H78" i="3" s="1"/>
  <c r="F96" i="3"/>
  <c r="E102" i="3"/>
  <c r="F104" i="3"/>
  <c r="G106" i="3"/>
  <c r="F112" i="3"/>
  <c r="F25" i="4"/>
  <c r="D298" i="6"/>
  <c r="D141" i="6"/>
  <c r="D150" i="6" s="1"/>
  <c r="D220" i="6"/>
  <c r="D351" i="6"/>
  <c r="E107" i="6"/>
  <c r="D152" i="6"/>
  <c r="G167" i="6"/>
  <c r="D195" i="6"/>
  <c r="D200" i="6" s="1"/>
  <c r="G240" i="6"/>
  <c r="D240" i="6"/>
  <c r="G399" i="6"/>
  <c r="E18" i="6"/>
  <c r="E22" i="6"/>
  <c r="D272" i="6"/>
  <c r="E54" i="6"/>
  <c r="G162" i="6"/>
  <c r="G195" i="6"/>
  <c r="I180" i="6"/>
  <c r="D266" i="6"/>
  <c r="G428" i="6"/>
  <c r="E116" i="6"/>
  <c r="E112" i="6"/>
  <c r="E108" i="6"/>
  <c r="E104" i="6"/>
  <c r="D299" i="6"/>
  <c r="E115" i="6"/>
  <c r="G266" i="6"/>
  <c r="E105" i="6"/>
  <c r="E109" i="6"/>
  <c r="E113" i="6"/>
  <c r="E117" i="6"/>
  <c r="D151" i="6"/>
  <c r="G214" i="6"/>
  <c r="D399" i="6"/>
  <c r="H105" i="6"/>
  <c r="H109" i="6"/>
  <c r="H113" i="6"/>
  <c r="N42" i="1"/>
  <c r="M35" i="1"/>
  <c r="M34" i="1"/>
  <c r="M33" i="1"/>
  <c r="L35" i="1"/>
  <c r="L34" i="1"/>
  <c r="L33" i="1"/>
  <c r="M39" i="1"/>
  <c r="M38" i="1"/>
  <c r="K39" i="1"/>
  <c r="L39" i="1" s="1"/>
  <c r="K38" i="1"/>
  <c r="L38" i="1" s="1"/>
  <c r="M30" i="1"/>
  <c r="M31" i="1"/>
  <c r="M32" i="1"/>
  <c r="M29" i="1"/>
  <c r="M36" i="1"/>
  <c r="L29" i="1"/>
  <c r="L30" i="1"/>
  <c r="L31" i="1"/>
  <c r="L32" i="1"/>
  <c r="L36" i="1"/>
  <c r="D424" i="6" l="1"/>
  <c r="H114" i="3"/>
  <c r="D419" i="6"/>
  <c r="D278" i="6"/>
  <c r="H108" i="3"/>
  <c r="D385" i="6"/>
  <c r="H104" i="3"/>
  <c r="H98" i="3"/>
  <c r="H100" i="3"/>
  <c r="I357" i="6"/>
  <c r="G226" i="6"/>
  <c r="H110" i="3"/>
  <c r="H106" i="3"/>
  <c r="H102" i="3"/>
  <c r="D305" i="6"/>
  <c r="D174" i="6"/>
  <c r="H112" i="3"/>
  <c r="H96" i="3"/>
  <c r="D324" i="6"/>
  <c r="G153" i="6"/>
  <c r="D154" i="6" s="1"/>
  <c r="D153" i="6"/>
  <c r="H22" i="6"/>
  <c r="E24" i="6"/>
  <c r="D252" i="6"/>
  <c r="G193" i="6"/>
  <c r="G168" i="6"/>
  <c r="D148" i="6"/>
  <c r="G221" i="6"/>
  <c r="I206" i="6"/>
  <c r="F429" i="6"/>
  <c r="D429" i="6"/>
  <c r="G200" i="6"/>
  <c r="D379" i="6"/>
  <c r="D167" i="6"/>
  <c r="D149" i="6"/>
  <c r="N34" i="1"/>
  <c r="N35" i="1"/>
  <c r="N33" i="1"/>
  <c r="N32" i="1"/>
  <c r="N31" i="1"/>
  <c r="N30" i="1"/>
  <c r="N29" i="1"/>
  <c r="N39" i="1"/>
  <c r="N36" i="1"/>
  <c r="N38" i="1"/>
  <c r="C115" i="3" l="1"/>
  <c r="D350" i="6"/>
  <c r="D193" i="6"/>
  <c r="D176" i="6"/>
  <c r="D175" i="6"/>
  <c r="G194" i="6"/>
  <c r="G219" i="6"/>
  <c r="G220" i="6" s="1"/>
  <c r="G245" i="6" s="1"/>
  <c r="G246" i="6" s="1"/>
  <c r="G271" i="6" s="1"/>
  <c r="D157" i="6"/>
  <c r="D158" i="6"/>
  <c r="G154" i="6"/>
  <c r="D178" i="6"/>
  <c r="D177" i="6"/>
  <c r="H26" i="6"/>
  <c r="E28" i="6"/>
  <c r="E26" i="6"/>
  <c r="G247" i="6"/>
  <c r="I232" i="6"/>
  <c r="N40" i="1"/>
  <c r="D229" i="6" l="1"/>
  <c r="D230" i="6"/>
  <c r="G272" i="6"/>
  <c r="G298" i="6"/>
  <c r="D219" i="6"/>
  <c r="D202" i="6"/>
  <c r="D201" i="6"/>
  <c r="D155" i="6"/>
  <c r="D156" i="6"/>
  <c r="D160" i="6" s="1"/>
  <c r="D204" i="6"/>
  <c r="D203" i="6"/>
  <c r="G273" i="6"/>
  <c r="I258" i="6"/>
  <c r="D255" i="6"/>
  <c r="D256" i="6"/>
  <c r="H30" i="6"/>
  <c r="E32" i="6"/>
  <c r="E30" i="6"/>
  <c r="D179" i="6"/>
  <c r="G179" i="6"/>
  <c r="D378" i="6"/>
  <c r="G160" i="6" l="1"/>
  <c r="D184" i="6"/>
  <c r="D183" i="6"/>
  <c r="G180" i="6"/>
  <c r="D180" i="6"/>
  <c r="E36" i="6"/>
  <c r="E34" i="6"/>
  <c r="H34" i="6"/>
  <c r="D245" i="6"/>
  <c r="D228" i="6"/>
  <c r="D227" i="6"/>
  <c r="G205" i="6"/>
  <c r="D205" i="6"/>
  <c r="I284" i="6"/>
  <c r="G300" i="6"/>
  <c r="D281" i="6"/>
  <c r="D282" i="6"/>
  <c r="G324" i="6"/>
  <c r="G299" i="6"/>
  <c r="G326" i="6" l="1"/>
  <c r="I311" i="6"/>
  <c r="D307" i="6"/>
  <c r="D308" i="6"/>
  <c r="D306" i="6"/>
  <c r="D309" i="6"/>
  <c r="G325" i="6"/>
  <c r="G350" i="6"/>
  <c r="D231" i="6"/>
  <c r="G231" i="6"/>
  <c r="E40" i="6"/>
  <c r="E38" i="6"/>
  <c r="H38" i="6"/>
  <c r="D271" i="6"/>
  <c r="D253" i="6"/>
  <c r="D254" i="6"/>
  <c r="D209" i="6"/>
  <c r="D210" i="6"/>
  <c r="D206" i="6"/>
  <c r="G206" i="6"/>
  <c r="D182" i="6"/>
  <c r="G186" i="6" s="1"/>
  <c r="D181" i="6"/>
  <c r="D279" i="6" l="1"/>
  <c r="D280" i="6"/>
  <c r="G378" i="6"/>
  <c r="G379" i="6" s="1"/>
  <c r="G351" i="6"/>
  <c r="D186" i="6"/>
  <c r="E44" i="6"/>
  <c r="E42" i="6"/>
  <c r="H42" i="6"/>
  <c r="D310" i="6"/>
  <c r="G310" i="6"/>
  <c r="D207" i="6"/>
  <c r="D208" i="6"/>
  <c r="D212" i="6" s="1"/>
  <c r="G257" i="6"/>
  <c r="D257" i="6"/>
  <c r="D236" i="6"/>
  <c r="D235" i="6"/>
  <c r="D232" i="6"/>
  <c r="G232" i="6"/>
  <c r="G352" i="6"/>
  <c r="I337" i="6"/>
  <c r="D335" i="6"/>
  <c r="D334" i="6"/>
  <c r="D332" i="6"/>
  <c r="D333" i="6"/>
  <c r="D283" i="6" l="1"/>
  <c r="G283" i="6"/>
  <c r="D261" i="6"/>
  <c r="D262" i="6"/>
  <c r="D258" i="6"/>
  <c r="G258" i="6"/>
  <c r="D234" i="6"/>
  <c r="G238" i="6" s="1"/>
  <c r="D233" i="6"/>
  <c r="D315" i="6"/>
  <c r="D314" i="6"/>
  <c r="G311" i="6"/>
  <c r="D311" i="6"/>
  <c r="E58" i="6"/>
  <c r="E49" i="6"/>
  <c r="H46" i="6"/>
  <c r="E46" i="6"/>
  <c r="G336" i="6"/>
  <c r="D336" i="6"/>
  <c r="G212" i="6"/>
  <c r="G380" i="6"/>
  <c r="I363" i="6"/>
  <c r="D361" i="6"/>
  <c r="D360" i="6"/>
  <c r="D359" i="6"/>
  <c r="D358" i="6"/>
  <c r="D238" i="6" l="1"/>
  <c r="D362" i="6"/>
  <c r="G362" i="6"/>
  <c r="D388" i="6"/>
  <c r="D389" i="6"/>
  <c r="D386" i="6"/>
  <c r="D387" i="6"/>
  <c r="D313" i="6"/>
  <c r="G317" i="6" s="1"/>
  <c r="D312" i="6"/>
  <c r="E53" i="6"/>
  <c r="E51" i="6"/>
  <c r="H51" i="6"/>
  <c r="D259" i="6"/>
  <c r="D260" i="6"/>
  <c r="D264" i="6" s="1"/>
  <c r="D288" i="6"/>
  <c r="D287" i="6"/>
  <c r="G284" i="6"/>
  <c r="D284" i="6"/>
  <c r="D340" i="6"/>
  <c r="D341" i="6"/>
  <c r="D337" i="6"/>
  <c r="G337" i="6"/>
  <c r="E62" i="6"/>
  <c r="E60" i="6"/>
  <c r="H60" i="6"/>
  <c r="D317" i="6" l="1"/>
  <c r="E66" i="6"/>
  <c r="E64" i="6"/>
  <c r="H64" i="6"/>
  <c r="G264" i="6"/>
  <c r="D338" i="6"/>
  <c r="D339" i="6"/>
  <c r="D343" i="6" s="1"/>
  <c r="H55" i="6"/>
  <c r="E55" i="6"/>
  <c r="D286" i="6"/>
  <c r="D290" i="6" s="1"/>
  <c r="D285" i="6"/>
  <c r="G390" i="6"/>
  <c r="D390" i="6"/>
  <c r="D367" i="6"/>
  <c r="D366" i="6"/>
  <c r="D363" i="6"/>
  <c r="G363" i="6"/>
  <c r="G343" i="6" l="1"/>
  <c r="G290" i="6"/>
  <c r="D365" i="6"/>
  <c r="G369" i="6" s="1"/>
  <c r="D364" i="6"/>
  <c r="D395" i="6"/>
  <c r="D394" i="6"/>
  <c r="D391" i="6"/>
  <c r="G391" i="6"/>
  <c r="E70" i="6"/>
  <c r="H68" i="6"/>
  <c r="E68" i="6"/>
  <c r="D369" i="6" l="1"/>
  <c r="E86" i="6"/>
  <c r="E74" i="6"/>
  <c r="H72" i="6"/>
  <c r="E72" i="6"/>
  <c r="D393" i="6"/>
  <c r="G397" i="6" s="1"/>
  <c r="D392" i="6"/>
  <c r="D397" i="6" l="1"/>
  <c r="E78" i="6"/>
  <c r="E76" i="6"/>
  <c r="H76" i="6"/>
  <c r="H88" i="6"/>
  <c r="E88" i="6"/>
  <c r="E82" i="6" l="1"/>
  <c r="E80" i="6"/>
  <c r="H80" i="6"/>
  <c r="E84" i="6" l="1"/>
  <c r="H84" i="6"/>
</calcChain>
</file>

<file path=xl/sharedStrings.xml><?xml version="1.0" encoding="utf-8"?>
<sst xmlns="http://schemas.openxmlformats.org/spreadsheetml/2006/main" count="1735" uniqueCount="477">
  <si>
    <t>WO.</t>
  </si>
  <si>
    <t>KVA</t>
  </si>
  <si>
    <t>LOT</t>
  </si>
  <si>
    <t>Volts</t>
  </si>
  <si>
    <t>25000/4*1269</t>
  </si>
  <si>
    <t>SOD</t>
  </si>
  <si>
    <t>Amps</t>
  </si>
  <si>
    <t>299/4*1142</t>
  </si>
  <si>
    <t>GOD</t>
  </si>
  <si>
    <t>Ratio Test:</t>
  </si>
  <si>
    <t>Wdg. Resistance Test</t>
  </si>
  <si>
    <t xml:space="preserve"> ºC</t>
  </si>
  <si>
    <t>1U-1V/</t>
  </si>
  <si>
    <t>2U1-2V1</t>
  </si>
  <si>
    <t>IU-1V</t>
  </si>
  <si>
    <t xml:space="preserve"> Ω</t>
  </si>
  <si>
    <t>2U2-2V2</t>
  </si>
  <si>
    <t xml:space="preserve"> mΩ</t>
  </si>
  <si>
    <t>2U3-2V3</t>
  </si>
  <si>
    <t>2U4-2V4</t>
  </si>
  <si>
    <t>2UF-2VF</t>
  </si>
  <si>
    <t>2UB-2VB</t>
  </si>
  <si>
    <t>2UH1-2VH1</t>
  </si>
  <si>
    <t>2UH2-2VH2</t>
  </si>
  <si>
    <t>Separate Source Test for 60 secs.</t>
  </si>
  <si>
    <t>HV</t>
  </si>
  <si>
    <t>5.00 KV</t>
  </si>
  <si>
    <t>OK</t>
  </si>
  <si>
    <t>S0D</t>
  </si>
  <si>
    <t>X11-X12</t>
  </si>
  <si>
    <t>Traction Wdg (LV)</t>
  </si>
  <si>
    <t>8.30 KV</t>
  </si>
  <si>
    <t>X21-X22</t>
  </si>
  <si>
    <t>Filter.Wdg</t>
  </si>
  <si>
    <t>XB11-XB12</t>
  </si>
  <si>
    <t>BUR Wdg.</t>
  </si>
  <si>
    <t>XB13-XB14</t>
  </si>
  <si>
    <t>10.0 KV</t>
  </si>
  <si>
    <t>XB21-XB22</t>
  </si>
  <si>
    <t>4.20 KV</t>
  </si>
  <si>
    <t>XB23-XB24</t>
  </si>
  <si>
    <t>HOTEL Load Wdg.</t>
  </si>
  <si>
    <t>XB31-XB32</t>
  </si>
  <si>
    <t>Insulation Resistance Test</t>
  </si>
  <si>
    <t>XB33-XB34</t>
  </si>
  <si>
    <t>HV/E</t>
  </si>
  <si>
    <t>(5 KV)</t>
  </si>
  <si>
    <t>Load Loss Test</t>
  </si>
  <si>
    <t>HV/(Tr1+Tr2+Tr3+Tr4)</t>
  </si>
  <si>
    <t xml:space="preserve">measured </t>
  </si>
  <si>
    <t>Amps.</t>
  </si>
  <si>
    <t>Watts</t>
  </si>
  <si>
    <t>HV/Filter Wdg.</t>
  </si>
  <si>
    <t>on</t>
  </si>
  <si>
    <t>K=150</t>
  </si>
  <si>
    <t>K=100</t>
  </si>
  <si>
    <t>K=15000</t>
  </si>
  <si>
    <t>HV/BUR Wdg.</t>
  </si>
  <si>
    <t>HV/TR1</t>
  </si>
  <si>
    <t>(Tr1+Tr2+Tr3+Tr4)/E</t>
  </si>
  <si>
    <t>TR2</t>
  </si>
  <si>
    <t>BUR/E</t>
  </si>
  <si>
    <t>(1 KV)</t>
  </si>
  <si>
    <t>TR3</t>
  </si>
  <si>
    <t>FILTER/E</t>
  </si>
  <si>
    <t>TR4</t>
  </si>
  <si>
    <t>SOD/E</t>
  </si>
  <si>
    <t>HL1</t>
  </si>
  <si>
    <t>GOD/E</t>
  </si>
  <si>
    <t>HL2</t>
  </si>
  <si>
    <t>HOTEL/E</t>
  </si>
  <si>
    <t>HL1+HL2</t>
  </si>
  <si>
    <t>HV/HOTEL LOAD</t>
  </si>
  <si>
    <t>HV/Tr1-Tr4</t>
  </si>
  <si>
    <t>No Load Loss Test</t>
  </si>
  <si>
    <t>K=75</t>
  </si>
  <si>
    <t>K=25</t>
  </si>
  <si>
    <t>K=25 *75</t>
  </si>
  <si>
    <t>Bur Wdg.</t>
  </si>
  <si>
    <t>Volts(avg*1.11)</t>
  </si>
  <si>
    <t>HV/Bur</t>
  </si>
  <si>
    <t>k=100</t>
  </si>
  <si>
    <t>k=10</t>
  </si>
  <si>
    <t>K=10</t>
  </si>
  <si>
    <t>k=1000</t>
  </si>
  <si>
    <t>HV/Filter</t>
  </si>
  <si>
    <t>Test of SOD Inductance</t>
  </si>
  <si>
    <t>Supply</t>
  </si>
  <si>
    <t>k=500</t>
  </si>
  <si>
    <t>K=1</t>
  </si>
  <si>
    <t>Test of GOD Iductance</t>
  </si>
  <si>
    <t>AMPS</t>
  </si>
  <si>
    <t>VOLTS</t>
  </si>
  <si>
    <t>WATTS</t>
  </si>
  <si>
    <t>Induced Overpotential test</t>
  </si>
  <si>
    <t>Short</t>
  </si>
  <si>
    <t>k=200</t>
  </si>
  <si>
    <t>k=20</t>
  </si>
  <si>
    <t>k=4000</t>
  </si>
  <si>
    <t>HV terminal Voltage is raised to</t>
  </si>
  <si>
    <t>XB11-XB13</t>
  </si>
  <si>
    <t>XB12-XB14</t>
  </si>
  <si>
    <t>XB21-XB23</t>
  </si>
  <si>
    <t>XB22-XB24</t>
  </si>
  <si>
    <t>XB31-XB33</t>
  </si>
  <si>
    <t>XB32-XB34</t>
  </si>
  <si>
    <t>Date</t>
  </si>
  <si>
    <t>Tested By</t>
  </si>
  <si>
    <t>60 KV at 100 Hz  for 60 Seconds.</t>
  </si>
  <si>
    <t>Customer</t>
  </si>
  <si>
    <t>Witnessed By</t>
  </si>
  <si>
    <t>M/S:</t>
  </si>
  <si>
    <t>Sl. No.</t>
  </si>
  <si>
    <t>Set No.</t>
  </si>
  <si>
    <t>BHARAT HEAVY ELECTRICALS LTD. JHANSI</t>
  </si>
  <si>
    <t>TRANSFORMER TESTING DEPARTMENT</t>
  </si>
  <si>
    <t xml:space="preserve"> GΩ</t>
  </si>
  <si>
    <t>ROUTINE ELECTRICAL TEST OBSERVATION SHEET</t>
  </si>
  <si>
    <t>WO NO</t>
  </si>
  <si>
    <t>SET NO.</t>
  </si>
  <si>
    <t>SL. NO.</t>
  </si>
  <si>
    <t>DATE OF TEST</t>
  </si>
  <si>
    <t>TURNS RATIO</t>
  </si>
  <si>
    <t>1U-1V/2U1-2V1</t>
  </si>
  <si>
    <t>1U-1V/2U2-2V2</t>
  </si>
  <si>
    <t>1U-1V/2U3-2V2</t>
  </si>
  <si>
    <t>1U-1V/2U4-2V4</t>
  </si>
  <si>
    <t>1U-1V/2UF-2VF</t>
  </si>
  <si>
    <t>1U-1V/2UB-2VB</t>
  </si>
  <si>
    <t>1U-1V/2UH1-2VH1</t>
  </si>
  <si>
    <t>1U-1V/2UH2-2VH2</t>
  </si>
  <si>
    <t>WINDING RESISTANCE (IN mohms)</t>
  </si>
  <si>
    <t>TEMP:</t>
  </si>
  <si>
    <t>° C</t>
  </si>
  <si>
    <t>1U-1V</t>
  </si>
  <si>
    <t>2U1-2V2</t>
  </si>
  <si>
    <t>SEPARATE SOURCE VOLTAGE WITHSTAND TEST</t>
  </si>
  <si>
    <t>HV WINDING</t>
  </si>
  <si>
    <t>FOR 60 SECS OK</t>
  </si>
  <si>
    <t>TRACTION WINDINGS</t>
  </si>
  <si>
    <t>FILTER WINDINGS</t>
  </si>
  <si>
    <t>BUR WINDINGS</t>
  </si>
  <si>
    <t>HL WINDING</t>
  </si>
  <si>
    <t>NO-LOAD LOSS MEASUREMENT</t>
  </si>
  <si>
    <t>BUR WINDING</t>
  </si>
  <si>
    <t>CURRENT</t>
  </si>
  <si>
    <t>RMS VOLTS</t>
  </si>
  <si>
    <t>AVG VOLTS</t>
  </si>
  <si>
    <t>INDUCED OVER VOLTAGE WITH STAND TEST</t>
  </si>
  <si>
    <t xml:space="preserve">KV </t>
  </si>
  <si>
    <t>AT</t>
  </si>
  <si>
    <t xml:space="preserve">HZ </t>
  </si>
  <si>
    <t xml:space="preserve">FOR </t>
  </si>
  <si>
    <t>SEC</t>
  </si>
  <si>
    <t>LOAD LOSS MEASUREMENT</t>
  </si>
  <si>
    <t>MEASURED</t>
  </si>
  <si>
    <t>ON</t>
  </si>
  <si>
    <t>HV / TR1</t>
  </si>
  <si>
    <t>HV / TR2</t>
  </si>
  <si>
    <t>HV / TR3</t>
  </si>
  <si>
    <t>HV / TR4</t>
  </si>
  <si>
    <t>HV / TR1-4</t>
  </si>
  <si>
    <t>HV / HL1</t>
  </si>
  <si>
    <t>HV / HL2</t>
  </si>
  <si>
    <t>HV / HL1+HL2</t>
  </si>
  <si>
    <t>HV / BUR</t>
  </si>
  <si>
    <t>HV / FILTER</t>
  </si>
  <si>
    <t>MEASUREMENT OF INDUCTANCE (SOD)</t>
  </si>
  <si>
    <t>SUPPLY ON</t>
  </si>
  <si>
    <t>MEASUREMENT OF INDUCTANCE (GOD)</t>
  </si>
  <si>
    <t>SHORT</t>
  </si>
  <si>
    <t>WITNESSED BY:</t>
  </si>
  <si>
    <t>BHARAT HEAVY ELECTRICALS LTD., JHANSI</t>
  </si>
  <si>
    <t>TRANSFORMER ENGINEERING</t>
  </si>
  <si>
    <t>TEST CERTIFICATE</t>
  </si>
  <si>
    <t>W.O. NO.</t>
  </si>
  <si>
    <t>Tr. Sl. No.</t>
  </si>
  <si>
    <t>Elec. Spec. No.</t>
  </si>
  <si>
    <t>Type of transformer:</t>
  </si>
  <si>
    <t>LOT 7775</t>
  </si>
  <si>
    <t>(HOTEL LOAD)</t>
  </si>
  <si>
    <t>Phase:</t>
  </si>
  <si>
    <t>Frequency:</t>
  </si>
  <si>
    <t>50 Hz</t>
  </si>
  <si>
    <t>Ref. Std.:</t>
  </si>
  <si>
    <t>IEC-310</t>
  </si>
  <si>
    <t>Rated Power:</t>
  </si>
  <si>
    <t>7775 / 4 * 1449 / 400 / 334 / 2 * 622.5 KVA</t>
  </si>
  <si>
    <t>Windings</t>
  </si>
  <si>
    <t>Rated current (A)</t>
  </si>
  <si>
    <t>Rated Voltage (KV)</t>
  </si>
  <si>
    <t>TR</t>
  </si>
  <si>
    <t>4 x</t>
  </si>
  <si>
    <t xml:space="preserve">4 x </t>
  </si>
  <si>
    <t>FILTER</t>
  </si>
  <si>
    <t>BUR</t>
  </si>
  <si>
    <t>HL</t>
  </si>
  <si>
    <t>2x</t>
  </si>
  <si>
    <t>Customer:</t>
  </si>
  <si>
    <t>Represented by:</t>
  </si>
  <si>
    <t>Date of test:</t>
  </si>
  <si>
    <t>Customer Sl. No.:</t>
  </si>
  <si>
    <t>Prepared by:</t>
  </si>
  <si>
    <t>Checked by:</t>
  </si>
  <si>
    <t>Approved by:</t>
  </si>
  <si>
    <t>Date:</t>
  </si>
  <si>
    <t>Measurement of Ratios:</t>
  </si>
  <si>
    <t>In accoradance with IEC-310 cl. 20, voltage ratio is measured between primary winding and all other windings.</t>
  </si>
  <si>
    <t>RANGE</t>
  </si>
  <si>
    <t>WINDINGS</t>
  </si>
  <si>
    <t>CALCULATED</t>
  </si>
  <si>
    <t>1U-1V/2U3-2V3</t>
  </si>
  <si>
    <r>
      <t>Note</t>
    </r>
    <r>
      <rPr>
        <sz val="11"/>
        <rFont val="Arial"/>
        <family val="2"/>
      </rPr>
      <t>: Tolerance is ± 0.5 % against nominal values.</t>
    </r>
  </si>
  <si>
    <t>Measurement of resistances:</t>
  </si>
  <si>
    <t>RESISTANCE IN mOhms</t>
  </si>
  <si>
    <t>MEASURED AT TEST</t>
  </si>
  <si>
    <t xml:space="preserve">CORRECTED </t>
  </si>
  <si>
    <t>TEMP. (°C)</t>
  </si>
  <si>
    <t>TO 75° c</t>
  </si>
  <si>
    <t>TR1</t>
  </si>
  <si>
    <t>Measurement of No-load loss &amp; Current:-</t>
  </si>
  <si>
    <t>In accordance with IEC-310 cl. 21.2, the no-load losses and current are measured with 50 Hz sinusoidal</t>
  </si>
  <si>
    <t>voltage applied to BUR winding. (%Io referred to HV side)</t>
  </si>
  <si>
    <t>(Guaranteed No-load losses- 3.5 KW + 15%)</t>
  </si>
  <si>
    <t>% NOMINAL</t>
  </si>
  <si>
    <t>RMS</t>
  </si>
  <si>
    <t>AVG.</t>
  </si>
  <si>
    <t xml:space="preserve">% No-load </t>
  </si>
  <si>
    <t>CORRECTED</t>
  </si>
  <si>
    <t>VOLTAGE</t>
  </si>
  <si>
    <t>Current (Io)</t>
  </si>
  <si>
    <t>KW</t>
  </si>
  <si>
    <t>Measurement of Load loss and Impedance voltage:-</t>
  </si>
  <si>
    <t>In accordance with IEC-310 cl. 22&amp;23, the load losses and impedance voltage are measured with 50Hz</t>
  </si>
  <si>
    <t>sinusoidal voltage applied to HV winding.</t>
  </si>
  <si>
    <t>(Guaranteed load loss at 75° C HV/ TR-1…4:- 169 KW + 15%)</t>
  </si>
  <si>
    <t>Impedances:-</t>
  </si>
  <si>
    <t xml:space="preserve"> </t>
  </si>
  <si>
    <t xml:space="preserve">HV/ TR1 to 4:- </t>
  </si>
  <si>
    <t>%± Tol  (Guaranteed)</t>
  </si>
  <si>
    <t>HV/ TR1 …. 4:-</t>
  </si>
  <si>
    <t>% ( Approx)</t>
  </si>
  <si>
    <t>HV / FILTER:-</t>
  </si>
  <si>
    <t>% (Approx)</t>
  </si>
  <si>
    <t>HV/ BUR:-</t>
  </si>
  <si>
    <t>HV / HL1 &amp; HV/HL2:-           15</t>
  </si>
  <si>
    <t xml:space="preserve">Test Temperature:- </t>
  </si>
  <si>
    <t xml:space="preserve">SUPPLY/ </t>
  </si>
  <si>
    <t>RATED</t>
  </si>
  <si>
    <t>%</t>
  </si>
  <si>
    <t>AT TEST TEMPERATURE</t>
  </si>
  <si>
    <t xml:space="preserve">LOAD </t>
  </si>
  <si>
    <t>IMPEDANCE</t>
  </si>
  <si>
    <t>LOAD LOSS</t>
  </si>
  <si>
    <t>I2 R LOSS</t>
  </si>
  <si>
    <t>LOSS (IN KW)</t>
  </si>
  <si>
    <t>(A)</t>
  </si>
  <si>
    <t>(KV)</t>
  </si>
  <si>
    <t>(KW)</t>
  </si>
  <si>
    <t>AT 75° c</t>
  </si>
  <si>
    <t xml:space="preserve"> HV / TR4</t>
  </si>
  <si>
    <t>HV / TR1.4</t>
  </si>
  <si>
    <t xml:space="preserve">Total transformer loss: </t>
  </si>
  <si>
    <t>[G: 195 KW + IEC TOL.]</t>
  </si>
  <si>
    <t>Induced over voltage withstand test:-</t>
  </si>
  <si>
    <t>The test was conducted inline with IEC310 26.1.The HV winding was raised to</t>
  </si>
  <si>
    <t>KVrms</t>
  </si>
  <si>
    <t xml:space="preserve">at </t>
  </si>
  <si>
    <t>Hz</t>
  </si>
  <si>
    <t>for</t>
  </si>
  <si>
    <t>sec.</t>
  </si>
  <si>
    <t>………………test withstood satisfactorily.</t>
  </si>
  <si>
    <t>Separate Source voltage withstand test:-</t>
  </si>
  <si>
    <t>The test was conducted inline with IEC310 cl. 26.2. The single phase separate source voltage</t>
  </si>
  <si>
    <t>was applied to the following windings with all other windings connected to tank / ground.</t>
  </si>
  <si>
    <t>a.</t>
  </si>
  <si>
    <t>HV winding</t>
  </si>
  <si>
    <t>:</t>
  </si>
  <si>
    <t>KVrms for 60 Sec.</t>
  </si>
  <si>
    <t>b.</t>
  </si>
  <si>
    <t>Traction winding</t>
  </si>
  <si>
    <t>c.</t>
  </si>
  <si>
    <t>Filter winding</t>
  </si>
  <si>
    <t>d.</t>
  </si>
  <si>
    <t>BUR winding</t>
  </si>
  <si>
    <t>e.</t>
  </si>
  <si>
    <t>HL winding</t>
  </si>
  <si>
    <t>Type:</t>
  </si>
  <si>
    <t>2 x SOD 240 REACTOR</t>
  </si>
  <si>
    <t>IEC-289</t>
  </si>
  <si>
    <t>2 X 236.9 KVA</t>
  </si>
  <si>
    <t>Inductance:</t>
  </si>
  <si>
    <t>2 x 0.551 mH</t>
  </si>
  <si>
    <t>Current:</t>
  </si>
  <si>
    <t>2 x 984.0 Amps</t>
  </si>
  <si>
    <t>100 Hz</t>
  </si>
  <si>
    <t>Witnessed by:</t>
  </si>
  <si>
    <t>Measurement of winding resistance (mohms)</t>
  </si>
  <si>
    <t>WINDING</t>
  </si>
  <si>
    <t>CORRECTED TO 75° C</t>
  </si>
  <si>
    <t>TEMP. (° C)</t>
  </si>
  <si>
    <t>Measurement of winding inductance</t>
  </si>
  <si>
    <t>SUPPLY</t>
  </si>
  <si>
    <t>INDUCTANCE</t>
  </si>
  <si>
    <t>(mH)</t>
  </si>
  <si>
    <t>(V)</t>
  </si>
  <si>
    <t>Guaranteed Value: 2 x 0.551 mH ± 15%</t>
  </si>
  <si>
    <t xml:space="preserve">SOD reactor was raised to </t>
  </si>
  <si>
    <t xml:space="preserve">KV against the other reactors and earth </t>
  </si>
  <si>
    <t>at 50 Hz for 60 seconds.</t>
  </si>
  <si>
    <t>……………test withstood satisfactorily.</t>
  </si>
  <si>
    <t>6 x GOD 120 REACTOR</t>
  </si>
  <si>
    <t>3 X 2 X 131 KVA</t>
  </si>
  <si>
    <t>13 mH at 155 Amp DC with 38% ripple</t>
  </si>
  <si>
    <t>3 X 2 X (120 - 155 - 190) Amps. DC</t>
  </si>
  <si>
    <t>Measurement of winding inductance at 50 Hz</t>
  </si>
  <si>
    <t>INDUCTANCE (mH)</t>
  </si>
  <si>
    <t>Combined</t>
  </si>
  <si>
    <t>Individual</t>
  </si>
  <si>
    <t>Guaranteed Value: 3 x 2 X 13 mH -0 , + Free at 155 Amps</t>
  </si>
  <si>
    <t xml:space="preserve">1 GOD reactor was raised to </t>
  </si>
  <si>
    <t>KV against the other reactors and earth at 50 Hz</t>
  </si>
  <si>
    <t>for 60 seconds.</t>
  </si>
  <si>
    <t>Calculation sheet for LOT-7500 3-Phase Freight loco transformer</t>
  </si>
  <si>
    <t>LOT-</t>
  </si>
  <si>
    <t>SOD-</t>
  </si>
  <si>
    <t>GOD-</t>
  </si>
  <si>
    <t>SET NO-</t>
  </si>
  <si>
    <t>Measurement of Ratios</t>
  </si>
  <si>
    <t>as per test data</t>
  </si>
  <si>
    <t>Measurement of winding resistance</t>
  </si>
  <si>
    <t>θ</t>
  </si>
  <si>
    <t>=</t>
  </si>
  <si>
    <t>test temperature</t>
  </si>
  <si>
    <r>
      <t>R</t>
    </r>
    <r>
      <rPr>
        <vertAlign val="subscript"/>
        <sz val="10"/>
        <rFont val="Cambria"/>
        <family val="1"/>
        <scheme val="major"/>
      </rPr>
      <t>θ</t>
    </r>
  </si>
  <si>
    <t>measured resistance at test temperaure</t>
  </si>
  <si>
    <t>R75°C</t>
  </si>
  <si>
    <r>
      <t>R</t>
    </r>
    <r>
      <rPr>
        <vertAlign val="subscript"/>
        <sz val="10"/>
        <rFont val="Cambria"/>
        <family val="1"/>
        <scheme val="major"/>
      </rPr>
      <t>θ</t>
    </r>
    <r>
      <rPr>
        <sz val="10"/>
        <rFont val="Cambria"/>
        <family val="1"/>
        <scheme val="major"/>
      </rPr>
      <t xml:space="preserve"> x (235+75) / (235+θ)</t>
    </r>
    <r>
      <rPr>
        <vertAlign val="subscript"/>
        <sz val="10"/>
        <rFont val="Cambria"/>
        <family val="1"/>
        <scheme val="major"/>
      </rPr>
      <t xml:space="preserve"> </t>
    </r>
  </si>
  <si>
    <t>a)</t>
  </si>
  <si>
    <t>mΩ</t>
  </si>
  <si>
    <t>b)</t>
  </si>
  <si>
    <t>c)</t>
  </si>
  <si>
    <t>Rθ</t>
  </si>
  <si>
    <t>d)</t>
  </si>
  <si>
    <t>e)</t>
  </si>
  <si>
    <t>f)</t>
  </si>
  <si>
    <t>FL</t>
  </si>
  <si>
    <t>g)</t>
  </si>
  <si>
    <t>h)</t>
  </si>
  <si>
    <t>i)</t>
  </si>
  <si>
    <t>j)</t>
  </si>
  <si>
    <t>SOD (X11-X12)</t>
  </si>
  <si>
    <t>k)</t>
  </si>
  <si>
    <t>SOD (X21-X22)</t>
  </si>
  <si>
    <t>l)</t>
  </si>
  <si>
    <t>GOD (XB11-XB12)</t>
  </si>
  <si>
    <t>m)</t>
  </si>
  <si>
    <t>GOD (XB13-XB14)</t>
  </si>
  <si>
    <t>n)</t>
  </si>
  <si>
    <t>GOD (XB21-XB22)</t>
  </si>
  <si>
    <t>o)</t>
  </si>
  <si>
    <t>GOD (XB23-XB24)</t>
  </si>
  <si>
    <t>p)</t>
  </si>
  <si>
    <t>GOD (XB31-XB32)</t>
  </si>
  <si>
    <t>q)</t>
  </si>
  <si>
    <t>GOD (XB33-XB34)</t>
  </si>
  <si>
    <t>Measurement of No-load loss &amp; Current</t>
  </si>
  <si>
    <t>Urms</t>
  </si>
  <si>
    <t>rms volts</t>
  </si>
  <si>
    <t>Uav</t>
  </si>
  <si>
    <t>average volts</t>
  </si>
  <si>
    <t>NLLm</t>
  </si>
  <si>
    <t>measured No-load loss</t>
  </si>
  <si>
    <t>NLCm</t>
  </si>
  <si>
    <t>measured No-load current</t>
  </si>
  <si>
    <t>Irated(PRY)</t>
  </si>
  <si>
    <t>A</t>
  </si>
  <si>
    <t>HV-BUR ratio</t>
  </si>
  <si>
    <t>Corrected No-load loss</t>
  </si>
  <si>
    <r>
      <t>NLLm / [0.5+0.5x(Urms/Uav/1.11)</t>
    </r>
    <r>
      <rPr>
        <vertAlign val="superscript"/>
        <sz val="10"/>
        <rFont val="Cambria"/>
        <family val="1"/>
        <scheme val="major"/>
      </rPr>
      <t>2</t>
    </r>
    <r>
      <rPr>
        <sz val="10"/>
        <rFont val="Cambria"/>
        <family val="1"/>
        <scheme val="major"/>
      </rPr>
      <t>]</t>
    </r>
  </si>
  <si>
    <t>% No-load current</t>
  </si>
  <si>
    <t>NLCm x 100 / (Irated x BUR ratio)</t>
  </si>
  <si>
    <t>80% voltage</t>
  </si>
  <si>
    <t>NLL</t>
  </si>
  <si>
    <t>W</t>
  </si>
  <si>
    <t>NLC</t>
  </si>
  <si>
    <t>90% voltage</t>
  </si>
  <si>
    <t>100% voltage</t>
  </si>
  <si>
    <t>110% voltage</t>
  </si>
  <si>
    <t>Measurement of Load loss &amp; Impedance</t>
  </si>
  <si>
    <t>Ir</t>
  </si>
  <si>
    <t>Rated current</t>
  </si>
  <si>
    <t>It</t>
  </si>
  <si>
    <t>Test current</t>
  </si>
  <si>
    <t>Vr</t>
  </si>
  <si>
    <t>Rated voltage</t>
  </si>
  <si>
    <t>Vt</t>
  </si>
  <si>
    <t>Measured voltage</t>
  </si>
  <si>
    <t>β</t>
  </si>
  <si>
    <t>R</t>
  </si>
  <si>
    <t>Resistance at temperature θ</t>
  </si>
  <si>
    <t>LLm</t>
  </si>
  <si>
    <t>Measured load loss</t>
  </si>
  <si>
    <t>LLC (Load loss corrected to rated current)</t>
  </si>
  <si>
    <r>
      <t>(Ir/It)</t>
    </r>
    <r>
      <rPr>
        <vertAlign val="superscript"/>
        <sz val="10"/>
        <rFont val="Cambria"/>
        <family val="1"/>
        <scheme val="major"/>
      </rPr>
      <t xml:space="preserve">2 </t>
    </r>
    <r>
      <rPr>
        <sz val="10"/>
        <rFont val="Cambria"/>
        <family val="1"/>
        <scheme val="major"/>
      </rPr>
      <t>X LLm</t>
    </r>
  </si>
  <si>
    <r>
      <t>Resistive loss (I</t>
    </r>
    <r>
      <rPr>
        <vertAlign val="superscript"/>
        <sz val="10"/>
        <rFont val="Cambria"/>
        <family val="1"/>
        <scheme val="major"/>
      </rPr>
      <t xml:space="preserve">2 </t>
    </r>
    <r>
      <rPr>
        <sz val="10"/>
        <rFont val="Cambria"/>
        <family val="1"/>
        <scheme val="major"/>
      </rPr>
      <t xml:space="preserve">R loss) at </t>
    </r>
  </si>
  <si>
    <t>β° C</t>
  </si>
  <si>
    <r>
      <t>Ir</t>
    </r>
    <r>
      <rPr>
        <vertAlign val="superscript"/>
        <sz val="10"/>
        <rFont val="Cambria"/>
        <family val="1"/>
        <scheme val="major"/>
      </rPr>
      <t xml:space="preserve">2 </t>
    </r>
    <r>
      <rPr>
        <sz val="10"/>
        <rFont val="Cambria"/>
        <family val="1"/>
        <scheme val="major"/>
      </rPr>
      <t xml:space="preserve"> x R x (235+β) / (235+ θ)</t>
    </r>
  </si>
  <si>
    <t>Stray loss at</t>
  </si>
  <si>
    <t>LLC - Resistive loss</t>
  </si>
  <si>
    <t>75° C</t>
  </si>
  <si>
    <t>Stray at β° C x (235+β) / (235+75)</t>
  </si>
  <si>
    <r>
      <t>Ir</t>
    </r>
    <r>
      <rPr>
        <vertAlign val="superscript"/>
        <sz val="10"/>
        <rFont val="Cambria"/>
        <family val="1"/>
        <scheme val="major"/>
      </rPr>
      <t xml:space="preserve">2 </t>
    </r>
    <r>
      <rPr>
        <sz val="10"/>
        <rFont val="Cambria"/>
        <family val="1"/>
        <scheme val="major"/>
      </rPr>
      <t xml:space="preserve"> x R x (235+75) / (235+β)</t>
    </r>
  </si>
  <si>
    <t>Total load loss at 75° C</t>
  </si>
  <si>
    <t>Resistive loss + Stray loss at 75° C</t>
  </si>
  <si>
    <t>% impedance</t>
  </si>
  <si>
    <t>Vt x Ir x 100 / (Vr x It)</t>
  </si>
  <si>
    <t>HV-TR1</t>
  </si>
  <si>
    <t>Ir HV</t>
  </si>
  <si>
    <t>Ir TR</t>
  </si>
  <si>
    <t>R HV</t>
  </si>
  <si>
    <t>at</t>
  </si>
  <si>
    <t>R TR1</t>
  </si>
  <si>
    <t>V</t>
  </si>
  <si>
    <t>LLC</t>
  </si>
  <si>
    <t>I2R HV</t>
  </si>
  <si>
    <t>I2R LV</t>
  </si>
  <si>
    <t>Total I2R</t>
  </si>
  <si>
    <t>Stray loss</t>
  </si>
  <si>
    <t>Load loss</t>
  </si>
  <si>
    <t>at 75 ° C</t>
  </si>
  <si>
    <t>% Impedance</t>
  </si>
  <si>
    <t>HV-TR2</t>
  </si>
  <si>
    <t>R TR2</t>
  </si>
  <si>
    <t>HV-TR3</t>
  </si>
  <si>
    <t>R TR3</t>
  </si>
  <si>
    <t>HV-TR4</t>
  </si>
  <si>
    <t>R TR4</t>
  </si>
  <si>
    <t>HV-TR1-4</t>
  </si>
  <si>
    <t>R TR1-4</t>
  </si>
  <si>
    <t>HV-FL</t>
  </si>
  <si>
    <t>Ir FL</t>
  </si>
  <si>
    <t>R FL</t>
  </si>
  <si>
    <t>HV-BUR</t>
  </si>
  <si>
    <t>Ir BUR</t>
  </si>
  <si>
    <t>R BUR</t>
  </si>
  <si>
    <t>HV-HL1</t>
  </si>
  <si>
    <t>Ir HL1</t>
  </si>
  <si>
    <t>R HL1</t>
  </si>
  <si>
    <t>HV-HL2</t>
  </si>
  <si>
    <t>Ir HL2</t>
  </si>
  <si>
    <t>R HL2</t>
  </si>
  <si>
    <t>HV-HL1+HL2</t>
  </si>
  <si>
    <t>Ir HL1+HL2</t>
  </si>
  <si>
    <t>R HL1+HL2</t>
  </si>
  <si>
    <t>I2R HL1+HL2</t>
  </si>
  <si>
    <t>Measurement of Winding inductance</t>
  </si>
  <si>
    <t>L</t>
  </si>
  <si>
    <t>Inductance</t>
  </si>
  <si>
    <t>Vt / (2π x 50 x It)</t>
  </si>
  <si>
    <t>mH</t>
  </si>
  <si>
    <t>GOD (X11-X13)</t>
  </si>
  <si>
    <t>XB12-XB14 Short</t>
  </si>
  <si>
    <t>Individual L</t>
  </si>
  <si>
    <t>GOD (X21-X23)</t>
  </si>
  <si>
    <t>XB22-XB24 Short</t>
  </si>
  <si>
    <t>GOD (X31-X33)</t>
  </si>
  <si>
    <t>XB32-XB34 Short</t>
  </si>
  <si>
    <t>Induced voltage withstand test</t>
  </si>
  <si>
    <t>Separate source voltage withstand test</t>
  </si>
  <si>
    <t>SL NO.</t>
  </si>
  <si>
    <t>Sl No. Code</t>
  </si>
  <si>
    <t>DMW</t>
  </si>
  <si>
    <t>72163A18700</t>
  </si>
  <si>
    <t>S K Vishwakarma</t>
  </si>
  <si>
    <t>CUSTOMER</t>
  </si>
  <si>
    <t>Sh. S K Saxena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</si>
</sst>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"/>
    <numFmt numFmtId="166" formatCode="[$-409]dd\-mmm\-yy;@"/>
    <numFmt numFmtId="167" formatCode="0000"/>
    <numFmt numFmtId="168" formatCode="0.0"/>
    <numFmt numFmtId="169" formatCode="0.000%"/>
  </numFmts>
  <fonts count="40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8"/>
      <name val="Cambria"/>
      <family val="1"/>
      <scheme val="major"/>
    </font>
    <font>
      <b/>
      <sz val="14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  <font>
      <b/>
      <sz val="11"/>
      <name val="Arial"/>
      <family val="2"/>
    </font>
    <font>
      <b/>
      <sz val="10.4"/>
      <name val="Arial"/>
      <family val="2"/>
    </font>
    <font>
      <sz val="10"/>
      <color theme="1"/>
      <name val="Arial"/>
      <family val="2"/>
    </font>
    <font>
      <sz val="10"/>
      <color indexed="10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b/>
      <sz val="10"/>
      <color indexed="14"/>
      <name val="Arial"/>
      <family val="2"/>
    </font>
    <font>
      <b/>
      <u/>
      <sz val="13"/>
      <name val="Clarendon"/>
      <family val="1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11.5"/>
      <name val="Arial"/>
      <family val="2"/>
    </font>
    <font>
      <sz val="12"/>
      <color rgb="FFFF0000"/>
      <name val="Arial"/>
      <family val="2"/>
    </font>
    <font>
      <sz val="11"/>
      <color indexed="12"/>
      <name val="Arial"/>
      <family val="2"/>
    </font>
    <font>
      <b/>
      <u/>
      <sz val="11"/>
      <name val="Arial"/>
      <family val="2"/>
    </font>
    <font>
      <sz val="10.5"/>
      <name val="Arial"/>
      <family val="2"/>
    </font>
    <font>
      <b/>
      <sz val="10"/>
      <color indexed="12"/>
      <name val="Arial"/>
      <family val="2"/>
    </font>
    <font>
      <b/>
      <sz val="9"/>
      <name val="Arial"/>
      <family val="2"/>
    </font>
    <font>
      <sz val="12"/>
      <name val="Times New Roman"/>
      <family val="1"/>
    </font>
    <font>
      <sz val="10"/>
      <name val="Cambria"/>
      <family val="1"/>
      <scheme val="major"/>
    </font>
    <font>
      <sz val="12"/>
      <name val="Cambria"/>
      <family val="1"/>
      <scheme val="major"/>
    </font>
    <font>
      <b/>
      <u/>
      <sz val="12"/>
      <name val="Cambria"/>
      <family val="1"/>
      <scheme val="major"/>
    </font>
    <font>
      <vertAlign val="subscript"/>
      <sz val="10"/>
      <name val="Cambria"/>
      <family val="1"/>
      <scheme val="major"/>
    </font>
    <font>
      <u/>
      <sz val="10"/>
      <name val="Cambria"/>
      <family val="1"/>
      <scheme val="major"/>
    </font>
    <font>
      <b/>
      <sz val="10"/>
      <name val="Cambria"/>
      <family val="1"/>
      <scheme val="major"/>
    </font>
    <font>
      <vertAlign val="superscript"/>
      <sz val="10"/>
      <name val="Cambria"/>
      <family val="1"/>
      <scheme val="major"/>
    </font>
    <font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7" fillId="0" borderId="0"/>
  </cellStyleXfs>
  <cellXfs count="340">
    <xf numFmtId="0" fontId="0" fillId="0" borderId="0" xfId="0"/>
    <xf numFmtId="0" fontId="2" fillId="0" borderId="3" xfId="0" applyFont="1" applyFill="1" applyBorder="1" applyAlignment="1" applyProtection="1">
      <alignment vertical="center"/>
    </xf>
    <xf numFmtId="0" fontId="1" fillId="0" borderId="4" xfId="0" applyFont="1" applyBorder="1" applyAlignment="1" applyProtection="1">
      <alignment vertical="center"/>
    </xf>
    <xf numFmtId="0" fontId="2" fillId="0" borderId="5" xfId="0" applyFont="1" applyFill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</xf>
    <xf numFmtId="0" fontId="5" fillId="0" borderId="2" xfId="0" applyFont="1" applyBorder="1" applyAlignment="1" applyProtection="1">
      <alignment horizontal="left" vertical="center"/>
    </xf>
    <xf numFmtId="0" fontId="5" fillId="0" borderId="2" xfId="0" applyFont="1" applyBorder="1" applyAlignment="1" applyProtection="1">
      <alignment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vertical="center"/>
    </xf>
    <xf numFmtId="0" fontId="5" fillId="0" borderId="4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vertical="center"/>
    </xf>
    <xf numFmtId="0" fontId="5" fillId="0" borderId="6" xfId="0" applyFont="1" applyBorder="1" applyAlignment="1" applyProtection="1">
      <alignment vertical="center"/>
    </xf>
    <xf numFmtId="0" fontId="5" fillId="0" borderId="6" xfId="0" applyFont="1" applyBorder="1" applyAlignment="1" applyProtection="1">
      <alignment horizontal="center" vertical="center"/>
    </xf>
    <xf numFmtId="0" fontId="5" fillId="0" borderId="7" xfId="0" applyFont="1" applyBorder="1" applyAlignment="1" applyProtection="1">
      <alignment vertical="center"/>
    </xf>
    <xf numFmtId="0" fontId="8" fillId="0" borderId="1" xfId="0" applyFont="1" applyBorder="1" applyAlignment="1" applyProtection="1">
      <alignment vertical="center"/>
    </xf>
    <xf numFmtId="0" fontId="0" fillId="0" borderId="1" xfId="0" applyBorder="1" applyAlignment="1" applyProtection="1">
      <alignment vertical="center"/>
    </xf>
    <xf numFmtId="0" fontId="5" fillId="0" borderId="8" xfId="0" applyFont="1" applyBorder="1" applyAlignment="1" applyProtection="1">
      <alignment horizontal="center" vertical="center"/>
    </xf>
    <xf numFmtId="0" fontId="5" fillId="2" borderId="1" xfId="0" applyFont="1" applyFill="1" applyBorder="1" applyAlignment="1" applyProtection="1">
      <alignment vertical="center"/>
    </xf>
    <xf numFmtId="0" fontId="5" fillId="2" borderId="10" xfId="0" applyFont="1" applyFill="1" applyBorder="1" applyAlignment="1" applyProtection="1">
      <alignment horizontal="center" vertical="center"/>
    </xf>
    <xf numFmtId="0" fontId="5" fillId="0" borderId="11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center" vertical="center"/>
    </xf>
    <xf numFmtId="0" fontId="5" fillId="2" borderId="4" xfId="0" applyFont="1" applyFill="1" applyBorder="1" applyAlignment="1" applyProtection="1">
      <alignment vertical="center"/>
    </xf>
    <xf numFmtId="0" fontId="5" fillId="2" borderId="12" xfId="0" applyFont="1" applyFill="1" applyBorder="1" applyAlignment="1" applyProtection="1">
      <alignment vertical="center"/>
    </xf>
    <xf numFmtId="0" fontId="5" fillId="0" borderId="5" xfId="0" applyFont="1" applyBorder="1" applyAlignment="1" applyProtection="1">
      <alignment horizontal="center" vertical="center"/>
    </xf>
    <xf numFmtId="2" fontId="5" fillId="2" borderId="4" xfId="0" applyNumberFormat="1" applyFont="1" applyFill="1" applyBorder="1" applyAlignment="1" applyProtection="1">
      <alignment horizontal="center" vertical="center"/>
    </xf>
    <xf numFmtId="0" fontId="0" fillId="2" borderId="13" xfId="0" applyFill="1" applyBorder="1" applyProtection="1"/>
    <xf numFmtId="0" fontId="8" fillId="0" borderId="13" xfId="0" applyFont="1" applyBorder="1" applyAlignment="1" applyProtection="1">
      <alignment horizontal="left" vertical="center"/>
    </xf>
    <xf numFmtId="0" fontId="5" fillId="0" borderId="14" xfId="0" applyFont="1" applyBorder="1" applyAlignment="1" applyProtection="1">
      <alignment horizontal="center" vertical="center"/>
    </xf>
    <xf numFmtId="0" fontId="1" fillId="0" borderId="14" xfId="0" applyFont="1" applyBorder="1" applyAlignment="1" applyProtection="1">
      <alignment horizontal="center" vertical="center"/>
    </xf>
    <xf numFmtId="0" fontId="0" fillId="2" borderId="15" xfId="0" applyFill="1" applyBorder="1" applyProtection="1"/>
    <xf numFmtId="0" fontId="5" fillId="0" borderId="13" xfId="0" applyFont="1" applyBorder="1" applyAlignment="1" applyProtection="1">
      <alignment horizontal="left" vertical="center"/>
    </xf>
    <xf numFmtId="0" fontId="5" fillId="0" borderId="7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left" vertical="center"/>
    </xf>
    <xf numFmtId="0" fontId="5" fillId="0" borderId="15" xfId="0" applyFont="1" applyBorder="1" applyAlignment="1" applyProtection="1">
      <alignment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11" xfId="0" applyFont="1" applyBorder="1" applyAlignment="1" applyProtection="1">
      <alignment horizontal="center" vertical="center"/>
    </xf>
    <xf numFmtId="0" fontId="5" fillId="0" borderId="9" xfId="0" applyFont="1" applyBorder="1" applyAlignment="1" applyProtection="1">
      <alignment horizontal="left" vertical="center"/>
    </xf>
    <xf numFmtId="0" fontId="1" fillId="0" borderId="11" xfId="0" applyFont="1" applyBorder="1" applyAlignment="1" applyProtection="1">
      <alignment horizontal="left" vertical="center"/>
    </xf>
    <xf numFmtId="0" fontId="5" fillId="0" borderId="11" xfId="0" applyFont="1" applyBorder="1" applyAlignment="1" applyProtection="1">
      <alignment vertical="center"/>
    </xf>
    <xf numFmtId="0" fontId="5" fillId="0" borderId="10" xfId="0" applyFont="1" applyBorder="1" applyAlignment="1" applyProtection="1">
      <alignment horizontal="center" vertical="center"/>
    </xf>
    <xf numFmtId="0" fontId="5" fillId="0" borderId="12" xfId="0" applyFont="1" applyBorder="1" applyAlignment="1" applyProtection="1">
      <alignment vertical="center"/>
    </xf>
    <xf numFmtId="0" fontId="8" fillId="0" borderId="1" xfId="0" applyFont="1" applyBorder="1" applyAlignment="1" applyProtection="1">
      <alignment horizontal="left" vertical="center"/>
    </xf>
    <xf numFmtId="0" fontId="0" fillId="0" borderId="2" xfId="0" applyBorder="1" applyAlignment="1" applyProtection="1">
      <alignment vertical="center"/>
    </xf>
    <xf numFmtId="0" fontId="5" fillId="0" borderId="9" xfId="0" applyFont="1" applyBorder="1" applyAlignment="1" applyProtection="1">
      <alignment vertical="center"/>
    </xf>
    <xf numFmtId="0" fontId="5" fillId="0" borderId="8" xfId="0" applyFont="1" applyBorder="1" applyAlignment="1" applyProtection="1">
      <alignment vertical="center"/>
    </xf>
    <xf numFmtId="0" fontId="10" fillId="0" borderId="9" xfId="0" applyFont="1" applyBorder="1" applyAlignment="1" applyProtection="1">
      <alignment vertical="center"/>
    </xf>
    <xf numFmtId="0" fontId="5" fillId="0" borderId="15" xfId="0" applyFont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vertical="center"/>
    </xf>
    <xf numFmtId="0" fontId="5" fillId="0" borderId="4" xfId="0" applyFont="1" applyBorder="1" applyAlignment="1" applyProtection="1">
      <alignment horizontal="left" vertical="center"/>
    </xf>
    <xf numFmtId="0" fontId="5" fillId="0" borderId="10" xfId="0" applyFont="1" applyBorder="1" applyAlignment="1" applyProtection="1">
      <alignment vertical="center"/>
    </xf>
    <xf numFmtId="0" fontId="5" fillId="0" borderId="1" xfId="0" applyFont="1" applyBorder="1" applyAlignment="1" applyProtection="1">
      <alignment horizontal="center" vertical="center"/>
    </xf>
    <xf numFmtId="0" fontId="5" fillId="0" borderId="13" xfId="0" applyFont="1" applyBorder="1" applyAlignment="1" applyProtection="1">
      <alignment horizontal="center" vertical="center"/>
    </xf>
    <xf numFmtId="9" fontId="5" fillId="0" borderId="11" xfId="0" applyNumberFormat="1" applyFont="1" applyBorder="1" applyAlignment="1" applyProtection="1">
      <alignment horizontal="center" vertical="center"/>
    </xf>
    <xf numFmtId="1" fontId="5" fillId="0" borderId="11" xfId="0" applyNumberFormat="1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vertical="center"/>
    </xf>
    <xf numFmtId="0" fontId="8" fillId="0" borderId="3" xfId="0" applyFont="1" applyBorder="1" applyAlignment="1" applyProtection="1">
      <alignment vertical="center"/>
    </xf>
    <xf numFmtId="164" fontId="11" fillId="0" borderId="2" xfId="0" applyNumberFormat="1" applyFont="1" applyBorder="1" applyAlignment="1" applyProtection="1">
      <alignment horizontal="center" vertical="center"/>
    </xf>
    <xf numFmtId="1" fontId="5" fillId="0" borderId="2" xfId="0" applyNumberFormat="1" applyFont="1" applyBorder="1" applyAlignment="1" applyProtection="1">
      <alignment horizontal="center" vertical="center"/>
    </xf>
    <xf numFmtId="2" fontId="11" fillId="0" borderId="2" xfId="0" applyNumberFormat="1" applyFont="1" applyBorder="1" applyAlignment="1" applyProtection="1">
      <alignment horizontal="center" vertical="center"/>
    </xf>
    <xf numFmtId="2" fontId="11" fillId="0" borderId="3" xfId="0" applyNumberFormat="1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8" fillId="2" borderId="1" xfId="0" applyFont="1" applyFill="1" applyBorder="1" applyAlignment="1" applyProtection="1">
      <alignment vertical="center"/>
    </xf>
    <xf numFmtId="0" fontId="5" fillId="2" borderId="2" xfId="0" applyFont="1" applyFill="1" applyBorder="1" applyAlignment="1" applyProtection="1">
      <alignment vertical="center"/>
    </xf>
    <xf numFmtId="0" fontId="5" fillId="2" borderId="4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center" vertical="center"/>
    </xf>
    <xf numFmtId="0" fontId="5" fillId="2" borderId="5" xfId="0" applyFont="1" applyFill="1" applyBorder="1" applyAlignment="1" applyProtection="1">
      <alignment horizontal="center" vertical="center"/>
    </xf>
    <xf numFmtId="0" fontId="5" fillId="0" borderId="11" xfId="0" applyFont="1" applyBorder="1" applyAlignment="1" applyProtection="1">
      <alignment horizontal="right" vertical="center"/>
    </xf>
    <xf numFmtId="0" fontId="5" fillId="2" borderId="0" xfId="0" applyFont="1" applyFill="1" applyBorder="1" applyAlignment="1" applyProtection="1">
      <alignment vertical="center"/>
    </xf>
    <xf numFmtId="0" fontId="0" fillId="2" borderId="4" xfId="0" applyFill="1" applyBorder="1" applyProtection="1"/>
    <xf numFmtId="0" fontId="0" fillId="2" borderId="0" xfId="0" applyFill="1" applyBorder="1" applyProtection="1"/>
    <xf numFmtId="0" fontId="5" fillId="2" borderId="5" xfId="0" applyFont="1" applyFill="1" applyBorder="1" applyAlignment="1" applyProtection="1">
      <alignment vertical="center"/>
    </xf>
    <xf numFmtId="0" fontId="5" fillId="0" borderId="10" xfId="0" applyFont="1" applyBorder="1" applyAlignment="1" applyProtection="1">
      <alignment horizontal="right" vertical="center"/>
    </xf>
    <xf numFmtId="0" fontId="5" fillId="2" borderId="13" xfId="0" applyFont="1" applyFill="1" applyBorder="1" applyAlignment="1" applyProtection="1">
      <alignment vertical="center"/>
    </xf>
    <xf numFmtId="0" fontId="5" fillId="2" borderId="6" xfId="0" applyFont="1" applyFill="1" applyBorder="1" applyAlignment="1" applyProtection="1">
      <alignment vertical="center"/>
    </xf>
    <xf numFmtId="0" fontId="5" fillId="2" borderId="7" xfId="0" applyFont="1" applyFill="1" applyBorder="1" applyAlignment="1" applyProtection="1">
      <alignment vertical="center"/>
    </xf>
    <xf numFmtId="0" fontId="5" fillId="0" borderId="1" xfId="0" applyFont="1" applyBorder="1" applyAlignment="1" applyProtection="1">
      <alignment horizontal="right" vertical="center"/>
    </xf>
    <xf numFmtId="0" fontId="12" fillId="0" borderId="3" xfId="0" applyFont="1" applyBorder="1" applyAlignment="1" applyProtection="1">
      <alignment vertical="center"/>
    </xf>
    <xf numFmtId="0" fontId="12" fillId="0" borderId="2" xfId="0" applyFont="1" applyBorder="1" applyAlignment="1" applyProtection="1">
      <alignment vertical="center"/>
    </xf>
    <xf numFmtId="0" fontId="12" fillId="0" borderId="5" xfId="0" applyFont="1" applyBorder="1" applyAlignment="1" applyProtection="1">
      <alignment vertical="center"/>
    </xf>
    <xf numFmtId="0" fontId="12" fillId="0" borderId="0" xfId="0" applyFont="1" applyBorder="1" applyAlignment="1" applyProtection="1">
      <alignment vertical="center"/>
    </xf>
    <xf numFmtId="166" fontId="6" fillId="0" borderId="6" xfId="0" applyNumberFormat="1" applyFont="1" applyBorder="1" applyAlignment="1" applyProtection="1">
      <alignment vertical="center"/>
    </xf>
    <xf numFmtId="0" fontId="12" fillId="0" borderId="6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5" fillId="0" borderId="5" xfId="0" applyFont="1" applyBorder="1" applyAlignment="1" applyProtection="1">
      <alignment horizontal="left" vertical="center"/>
    </xf>
    <xf numFmtId="0" fontId="5" fillId="0" borderId="13" xfId="0" applyFont="1" applyBorder="1" applyAlignment="1" applyProtection="1">
      <alignment vertical="center"/>
    </xf>
    <xf numFmtId="0" fontId="5" fillId="0" borderId="6" xfId="0" applyFont="1" applyBorder="1" applyAlignment="1" applyProtection="1">
      <alignment horizontal="left" vertical="center"/>
    </xf>
    <xf numFmtId="0" fontId="0" fillId="0" borderId="0" xfId="0" applyProtection="1"/>
    <xf numFmtId="0" fontId="0" fillId="0" borderId="3" xfId="0" applyBorder="1" applyProtection="1"/>
    <xf numFmtId="0" fontId="0" fillId="0" borderId="0" xfId="0" applyFill="1" applyProtection="1"/>
    <xf numFmtId="0" fontId="0" fillId="0" borderId="4" xfId="0" applyBorder="1" applyProtection="1"/>
    <xf numFmtId="0" fontId="0" fillId="0" borderId="5" xfId="0" applyBorder="1" applyProtection="1"/>
    <xf numFmtId="0" fontId="13" fillId="0" borderId="2" xfId="0" applyFont="1" applyBorder="1" applyAlignment="1" applyProtection="1">
      <alignment vertical="center"/>
    </xf>
    <xf numFmtId="0" fontId="0" fillId="0" borderId="2" xfId="0" applyBorder="1" applyProtection="1"/>
    <xf numFmtId="0" fontId="0" fillId="0" borderId="0" xfId="0" applyBorder="1" applyProtection="1"/>
    <xf numFmtId="0" fontId="0" fillId="0" borderId="6" xfId="0" applyBorder="1" applyProtection="1"/>
    <xf numFmtId="2" fontId="6" fillId="0" borderId="9" xfId="0" applyNumberFormat="1" applyFont="1" applyFill="1" applyBorder="1" applyAlignment="1" applyProtection="1">
      <alignment horizontal="center" vertical="center"/>
      <protection locked="0"/>
    </xf>
    <xf numFmtId="164" fontId="7" fillId="0" borderId="2" xfId="0" applyNumberFormat="1" applyFont="1" applyFill="1" applyBorder="1" applyAlignment="1" applyProtection="1">
      <alignment horizontal="center" vertical="center"/>
      <protection locked="0"/>
    </xf>
    <xf numFmtId="165" fontId="7" fillId="0" borderId="2" xfId="0" applyNumberFormat="1" applyFont="1" applyFill="1" applyBorder="1" applyAlignment="1" applyProtection="1">
      <alignment horizontal="center" vertical="center"/>
      <protection locked="0"/>
    </xf>
    <xf numFmtId="164" fontId="6" fillId="0" borderId="11" xfId="0" applyNumberFormat="1" applyFont="1" applyFill="1" applyBorder="1" applyAlignment="1" applyProtection="1">
      <alignment horizontal="center" vertical="center"/>
      <protection locked="0"/>
    </xf>
    <xf numFmtId="2" fontId="6" fillId="0" borderId="11" xfId="0" applyNumberFormat="1" applyFont="1" applyFill="1" applyBorder="1" applyAlignment="1" applyProtection="1">
      <alignment horizontal="center" vertical="center"/>
      <protection locked="0"/>
    </xf>
    <xf numFmtId="1" fontId="7" fillId="0" borderId="11" xfId="0" applyNumberFormat="1" applyFont="1" applyFill="1" applyBorder="1" applyAlignment="1" applyProtection="1">
      <alignment vertical="center"/>
      <protection locked="0"/>
    </xf>
    <xf numFmtId="165" fontId="6" fillId="0" borderId="11" xfId="0" applyNumberFormat="1" applyFont="1" applyFill="1" applyBorder="1" applyAlignment="1" applyProtection="1">
      <alignment horizontal="center" vertical="center"/>
      <protection locked="0"/>
    </xf>
    <xf numFmtId="2" fontId="6" fillId="0" borderId="10" xfId="0" applyNumberFormat="1" applyFont="1" applyFill="1" applyBorder="1" applyAlignment="1" applyProtection="1">
      <alignment horizontal="center" vertical="center"/>
      <protection locked="0"/>
    </xf>
    <xf numFmtId="1" fontId="6" fillId="0" borderId="11" xfId="0" applyNumberFormat="1" applyFont="1" applyFill="1" applyBorder="1" applyAlignment="1" applyProtection="1">
      <alignment vertical="center"/>
      <protection locked="0"/>
    </xf>
    <xf numFmtId="0" fontId="1" fillId="0" borderId="1" xfId="0" applyFont="1" applyFill="1" applyBorder="1" applyAlignment="1" applyProtection="1">
      <alignment vertical="center"/>
    </xf>
    <xf numFmtId="0" fontId="5" fillId="0" borderId="11" xfId="0" applyFont="1" applyFill="1" applyBorder="1" applyAlignment="1" applyProtection="1">
      <alignment horizontal="center" vertical="center"/>
    </xf>
    <xf numFmtId="2" fontId="6" fillId="0" borderId="11" xfId="0" applyNumberFormat="1" applyFont="1" applyFill="1" applyBorder="1" applyAlignment="1" applyProtection="1">
      <alignment vertical="center"/>
      <protection locked="0"/>
    </xf>
    <xf numFmtId="164" fontId="6" fillId="0" borderId="10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vertical="center"/>
    </xf>
    <xf numFmtId="0" fontId="5" fillId="0" borderId="11" xfId="0" applyFont="1" applyFill="1" applyBorder="1" applyAlignment="1" applyProtection="1">
      <alignment horizontal="left" vertical="center"/>
    </xf>
    <xf numFmtId="165" fontId="14" fillId="0" borderId="0" xfId="0" applyNumberFormat="1" applyFont="1" applyProtection="1"/>
    <xf numFmtId="0" fontId="14" fillId="0" borderId="0" xfId="0" applyFont="1" applyProtection="1"/>
    <xf numFmtId="0" fontId="14" fillId="0" borderId="0" xfId="0" applyFont="1" applyFill="1" applyProtection="1"/>
    <xf numFmtId="164" fontId="15" fillId="0" borderId="0" xfId="0" applyNumberFormat="1" applyFont="1" applyProtection="1"/>
    <xf numFmtId="2" fontId="15" fillId="0" borderId="0" xfId="0" applyNumberFormat="1" applyFont="1" applyProtection="1"/>
    <xf numFmtId="164" fontId="16" fillId="0" borderId="0" xfId="0" applyNumberFormat="1" applyFont="1" applyProtection="1"/>
    <xf numFmtId="2" fontId="16" fillId="0" borderId="0" xfId="0" applyNumberFormat="1" applyFont="1" applyProtection="1"/>
    <xf numFmtId="0" fontId="5" fillId="0" borderId="3" xfId="0" applyFont="1" applyFill="1" applyBorder="1" applyAlignment="1" applyProtection="1">
      <alignment vertical="center"/>
    </xf>
    <xf numFmtId="11" fontId="6" fillId="0" borderId="2" xfId="0" applyNumberFormat="1" applyFont="1" applyFill="1" applyBorder="1" applyAlignment="1" applyProtection="1">
      <alignment horizontal="left" vertical="center"/>
      <protection locked="0"/>
    </xf>
    <xf numFmtId="167" fontId="7" fillId="0" borderId="0" xfId="0" applyNumberFormat="1" applyFont="1" applyFill="1" applyBorder="1" applyAlignment="1" applyProtection="1">
      <alignment horizontal="center" vertical="center"/>
      <protection locked="0"/>
    </xf>
    <xf numFmtId="167" fontId="7" fillId="0" borderId="0" xfId="0" applyNumberFormat="1" applyFont="1" applyBorder="1" applyAlignment="1" applyProtection="1">
      <alignment horizontal="center" vertical="center"/>
      <protection locked="0"/>
    </xf>
    <xf numFmtId="167" fontId="7" fillId="0" borderId="6" xfId="0" applyNumberFormat="1" applyFont="1" applyFill="1" applyBorder="1" applyAlignment="1" applyProtection="1">
      <alignment horizontal="center" vertical="center"/>
      <protection locked="0"/>
    </xf>
    <xf numFmtId="167" fontId="7" fillId="0" borderId="6" xfId="0" applyNumberFormat="1" applyFont="1" applyBorder="1" applyAlignment="1" applyProtection="1">
      <alignment horizontal="center" vertical="center"/>
      <protection locked="0"/>
    </xf>
    <xf numFmtId="166" fontId="6" fillId="0" borderId="13" xfId="0" applyNumberFormat="1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horizontal="left" vertical="center"/>
      <protection locked="0"/>
    </xf>
    <xf numFmtId="14" fontId="7" fillId="0" borderId="13" xfId="0" applyNumberFormat="1" applyFont="1" applyBorder="1" applyAlignment="1" applyProtection="1">
      <alignment vertical="center"/>
      <protection locked="0"/>
    </xf>
    <xf numFmtId="16" fontId="7" fillId="0" borderId="13" xfId="0" applyNumberFormat="1" applyFont="1" applyBorder="1" applyAlignment="1" applyProtection="1">
      <alignment vertical="center"/>
      <protection locked="0"/>
    </xf>
    <xf numFmtId="0" fontId="0" fillId="0" borderId="13" xfId="0" applyFill="1" applyBorder="1" applyProtection="1"/>
    <xf numFmtId="0" fontId="0" fillId="0" borderId="7" xfId="0" applyFill="1" applyBorder="1" applyProtection="1"/>
    <xf numFmtId="0" fontId="1" fillId="4" borderId="11" xfId="1" applyFont="1" applyFill="1" applyBorder="1"/>
    <xf numFmtId="11" fontId="6" fillId="0" borderId="2" xfId="1" applyNumberFormat="1" applyFont="1" applyFill="1" applyBorder="1" applyAlignment="1" applyProtection="1">
      <alignment horizontal="left" vertical="center"/>
      <protection locked="0"/>
    </xf>
    <xf numFmtId="0" fontId="17" fillId="0" borderId="0" xfId="1"/>
    <xf numFmtId="0" fontId="1" fillId="0" borderId="11" xfId="1" applyFont="1" applyBorder="1" applyAlignment="1">
      <alignment horizontal="right"/>
    </xf>
    <xf numFmtId="0" fontId="1" fillId="0" borderId="0" xfId="1" applyFont="1"/>
    <xf numFmtId="0" fontId="1" fillId="0" borderId="0" xfId="1" applyFont="1" applyAlignment="1">
      <alignment horizontal="right"/>
    </xf>
    <xf numFmtId="0" fontId="6" fillId="0" borderId="0" xfId="1" applyFont="1" applyProtection="1">
      <protection locked="0"/>
    </xf>
    <xf numFmtId="14" fontId="6" fillId="0" borderId="11" xfId="1" applyNumberFormat="1" applyFont="1" applyBorder="1" applyProtection="1">
      <protection locked="0"/>
    </xf>
    <xf numFmtId="14" fontId="6" fillId="0" borderId="0" xfId="1" applyNumberFormat="1" applyFont="1" applyProtection="1">
      <protection locked="0"/>
    </xf>
    <xf numFmtId="2" fontId="6" fillId="0" borderId="9" xfId="1" applyNumberFormat="1" applyFont="1" applyFill="1" applyBorder="1" applyAlignment="1" applyProtection="1">
      <alignment horizontal="center" vertical="center"/>
      <protection locked="0"/>
    </xf>
    <xf numFmtId="0" fontId="1" fillId="4" borderId="9" xfId="1" applyFont="1" applyFill="1" applyBorder="1"/>
    <xf numFmtId="0" fontId="1" fillId="4" borderId="14" xfId="1" applyFont="1" applyFill="1" applyBorder="1"/>
    <xf numFmtId="0" fontId="17" fillId="4" borderId="8" xfId="1" applyFill="1" applyBorder="1"/>
    <xf numFmtId="0" fontId="6" fillId="0" borderId="11" xfId="1" applyFont="1" applyBorder="1" applyProtection="1">
      <protection locked="0"/>
    </xf>
    <xf numFmtId="0" fontId="17" fillId="4" borderId="14" xfId="1" applyFill="1" applyBorder="1"/>
    <xf numFmtId="0" fontId="1" fillId="0" borderId="15" xfId="1" applyFont="1" applyBorder="1"/>
    <xf numFmtId="0" fontId="17" fillId="0" borderId="15" xfId="1" applyBorder="1"/>
    <xf numFmtId="0" fontId="6" fillId="0" borderId="15" xfId="1" applyFont="1" applyBorder="1" applyProtection="1">
      <protection locked="0"/>
    </xf>
    <xf numFmtId="0" fontId="1" fillId="0" borderId="11" xfId="1" applyFont="1" applyBorder="1"/>
    <xf numFmtId="0" fontId="17" fillId="0" borderId="11" xfId="1" applyBorder="1"/>
    <xf numFmtId="0" fontId="1" fillId="0" borderId="16" xfId="1" applyFont="1" applyBorder="1"/>
    <xf numFmtId="0" fontId="18" fillId="0" borderId="16" xfId="1" applyFont="1" applyBorder="1" applyProtection="1">
      <protection locked="0"/>
    </xf>
    <xf numFmtId="9" fontId="1" fillId="0" borderId="11" xfId="1" applyNumberFormat="1" applyFont="1" applyBorder="1"/>
    <xf numFmtId="164" fontId="6" fillId="0" borderId="11" xfId="1" applyNumberFormat="1" applyFont="1" applyFill="1" applyBorder="1" applyAlignment="1" applyProtection="1">
      <alignment horizontal="center" vertical="center"/>
      <protection locked="0"/>
    </xf>
    <xf numFmtId="2" fontId="6" fillId="0" borderId="11" xfId="1" applyNumberFormat="1" applyFont="1" applyFill="1" applyBorder="1" applyAlignment="1" applyProtection="1">
      <alignment horizontal="center" vertical="center"/>
      <protection locked="0"/>
    </xf>
    <xf numFmtId="0" fontId="1" fillId="0" borderId="11" xfId="1" applyFont="1" applyBorder="1" applyAlignment="1">
      <alignment horizontal="center"/>
    </xf>
    <xf numFmtId="0" fontId="18" fillId="5" borderId="16" xfId="1" applyFont="1" applyFill="1" applyBorder="1" applyProtection="1">
      <protection locked="0"/>
    </xf>
    <xf numFmtId="0" fontId="1" fillId="0" borderId="17" xfId="1" applyFont="1" applyBorder="1"/>
    <xf numFmtId="0" fontId="18" fillId="5" borderId="17" xfId="1" applyFont="1" applyFill="1" applyBorder="1" applyProtection="1">
      <protection locked="0"/>
    </xf>
    <xf numFmtId="165" fontId="6" fillId="0" borderId="11" xfId="1" applyNumberFormat="1" applyFont="1" applyFill="1" applyBorder="1" applyAlignment="1" applyProtection="1">
      <alignment horizontal="center" vertical="center"/>
      <protection locked="0"/>
    </xf>
    <xf numFmtId="0" fontId="20" fillId="0" borderId="6" xfId="1" applyFont="1" applyBorder="1"/>
    <xf numFmtId="0" fontId="21" fillId="0" borderId="6" xfId="1" applyFont="1" applyBorder="1" applyAlignment="1">
      <alignment horizontal="left"/>
    </xf>
    <xf numFmtId="1" fontId="21" fillId="0" borderId="6" xfId="1" applyNumberFormat="1" applyFont="1" applyBorder="1" applyAlignment="1">
      <alignment horizontal="left"/>
    </xf>
    <xf numFmtId="0" fontId="21" fillId="0" borderId="6" xfId="1" applyFont="1" applyBorder="1"/>
    <xf numFmtId="0" fontId="20" fillId="0" borderId="0" xfId="1" applyFont="1" applyAlignment="1">
      <alignment horizontal="center"/>
    </xf>
    <xf numFmtId="0" fontId="20" fillId="0" borderId="0" xfId="1" applyFont="1"/>
    <xf numFmtId="0" fontId="21" fillId="0" borderId="0" xfId="1" applyFont="1" applyAlignment="1"/>
    <xf numFmtId="0" fontId="21" fillId="0" borderId="0" xfId="1" applyFont="1" applyAlignment="1">
      <alignment horizontal="left"/>
    </xf>
    <xf numFmtId="0" fontId="21" fillId="0" borderId="0" xfId="1" applyFont="1"/>
    <xf numFmtId="0" fontId="22" fillId="0" borderId="0" xfId="1" applyFont="1"/>
    <xf numFmtId="0" fontId="23" fillId="0" borderId="0" xfId="1" applyFont="1"/>
    <xf numFmtId="1" fontId="21" fillId="0" borderId="0" xfId="1" applyNumberFormat="1" applyFont="1" applyAlignment="1">
      <alignment horizontal="center"/>
    </xf>
    <xf numFmtId="0" fontId="21" fillId="0" borderId="0" xfId="1" applyFont="1" applyAlignment="1">
      <alignment horizontal="right"/>
    </xf>
    <xf numFmtId="165" fontId="21" fillId="0" borderId="0" xfId="1" applyNumberFormat="1" applyFont="1"/>
    <xf numFmtId="0" fontId="24" fillId="0" borderId="0" xfId="1" applyFont="1" applyAlignment="1">
      <alignment horizontal="left"/>
    </xf>
    <xf numFmtId="14" fontId="21" fillId="0" borderId="0" xfId="1" applyNumberFormat="1" applyFont="1" applyAlignment="1">
      <alignment horizontal="left"/>
    </xf>
    <xf numFmtId="165" fontId="25" fillId="0" borderId="0" xfId="1" applyNumberFormat="1" applyFont="1" applyAlignment="1" applyProtection="1">
      <alignment horizontal="right"/>
      <protection locked="0"/>
    </xf>
    <xf numFmtId="0" fontId="20" fillId="0" borderId="0" xfId="1" applyFont="1" applyAlignment="1">
      <alignment horizontal="left"/>
    </xf>
    <xf numFmtId="0" fontId="8" fillId="0" borderId="0" xfId="1" applyFont="1" applyAlignment="1">
      <alignment horizontal="center"/>
    </xf>
    <xf numFmtId="0" fontId="8" fillId="0" borderId="0" xfId="1" applyFont="1"/>
    <xf numFmtId="0" fontId="1" fillId="0" borderId="20" xfId="1" applyFont="1" applyBorder="1"/>
    <xf numFmtId="0" fontId="26" fillId="0" borderId="11" xfId="1" applyFont="1" applyBorder="1" applyProtection="1">
      <protection hidden="1"/>
    </xf>
    <xf numFmtId="0" fontId="22" fillId="0" borderId="22" xfId="1" applyFont="1" applyBorder="1" applyAlignment="1">
      <alignment horizontal="center"/>
    </xf>
    <xf numFmtId="0" fontId="22" fillId="0" borderId="24" xfId="1" applyFont="1" applyBorder="1"/>
    <xf numFmtId="0" fontId="22" fillId="0" borderId="24" xfId="1" applyFont="1" applyBorder="1" applyAlignment="1">
      <alignment horizontal="center"/>
    </xf>
    <xf numFmtId="0" fontId="22" fillId="0" borderId="27" xfId="1" applyFont="1" applyBorder="1" applyAlignment="1">
      <alignment horizontal="center"/>
    </xf>
    <xf numFmtId="0" fontId="22" fillId="0" borderId="31" xfId="1" applyFont="1" applyBorder="1"/>
    <xf numFmtId="0" fontId="27" fillId="0" borderId="0" xfId="1" applyFont="1"/>
    <xf numFmtId="0" fontId="1" fillId="0" borderId="24" xfId="1" applyFont="1" applyBorder="1"/>
    <xf numFmtId="0" fontId="1" fillId="0" borderId="16" xfId="1" applyFont="1" applyBorder="1" applyAlignment="1">
      <alignment horizontal="center"/>
    </xf>
    <xf numFmtId="0" fontId="1" fillId="0" borderId="27" xfId="1" applyFont="1" applyBorder="1"/>
    <xf numFmtId="0" fontId="22" fillId="0" borderId="21" xfId="1" applyFont="1" applyBorder="1" applyAlignment="1">
      <alignment horizontal="center"/>
    </xf>
    <xf numFmtId="0" fontId="22" fillId="0" borderId="15" xfId="1" applyFont="1" applyBorder="1" applyAlignment="1">
      <alignment horizontal="center"/>
    </xf>
    <xf numFmtId="165" fontId="22" fillId="0" borderId="22" xfId="1" applyNumberFormat="1" applyFont="1" applyBorder="1" applyAlignment="1">
      <alignment horizontal="center"/>
    </xf>
    <xf numFmtId="0" fontId="22" fillId="0" borderId="25" xfId="1" applyFont="1" applyBorder="1"/>
    <xf numFmtId="0" fontId="22" fillId="0" borderId="11" xfId="1" applyFont="1" applyBorder="1"/>
    <xf numFmtId="0" fontId="22" fillId="0" borderId="25" xfId="1" applyFont="1" applyBorder="1" applyAlignment="1">
      <alignment horizontal="center"/>
    </xf>
    <xf numFmtId="0" fontId="22" fillId="0" borderId="11" xfId="1" applyFont="1" applyBorder="1" applyAlignment="1">
      <alignment horizontal="center"/>
    </xf>
    <xf numFmtId="165" fontId="22" fillId="0" borderId="24" xfId="1" applyNumberFormat="1" applyFont="1" applyBorder="1" applyAlignment="1">
      <alignment horizontal="center"/>
    </xf>
    <xf numFmtId="0" fontId="22" fillId="0" borderId="26" xfId="1" applyFont="1" applyBorder="1" applyAlignment="1">
      <alignment horizontal="center"/>
    </xf>
    <xf numFmtId="0" fontId="22" fillId="0" borderId="16" xfId="1" applyFont="1" applyBorder="1" applyAlignment="1">
      <alignment horizontal="center"/>
    </xf>
    <xf numFmtId="165" fontId="22" fillId="0" borderId="27" xfId="1" applyNumberFormat="1" applyFont="1" applyBorder="1" applyAlignment="1">
      <alignment horizontal="center"/>
    </xf>
    <xf numFmtId="0" fontId="22" fillId="0" borderId="35" xfId="1" applyFont="1" applyBorder="1"/>
    <xf numFmtId="0" fontId="22" fillId="0" borderId="10" xfId="1" applyFont="1" applyBorder="1"/>
    <xf numFmtId="0" fontId="8" fillId="0" borderId="0" xfId="1" applyFont="1" applyBorder="1" applyAlignment="1">
      <alignment horizontal="left"/>
    </xf>
    <xf numFmtId="0" fontId="22" fillId="0" borderId="0" xfId="1" applyFont="1" applyBorder="1" applyAlignment="1">
      <alignment horizontal="left"/>
    </xf>
    <xf numFmtId="0" fontId="22" fillId="0" borderId="0" xfId="1" applyFont="1" applyAlignment="1">
      <alignment horizontal="left"/>
    </xf>
    <xf numFmtId="0" fontId="22" fillId="0" borderId="0" xfId="1" applyFont="1" applyBorder="1" applyAlignment="1"/>
    <xf numFmtId="0" fontId="1" fillId="0" borderId="32" xfId="1" applyFont="1" applyFill="1" applyBorder="1" applyAlignment="1">
      <alignment horizontal="center"/>
    </xf>
    <xf numFmtId="0" fontId="1" fillId="0" borderId="33" xfId="1" applyFont="1" applyBorder="1" applyAlignment="1">
      <alignment horizontal="center"/>
    </xf>
    <xf numFmtId="0" fontId="1" fillId="0" borderId="34" xfId="1" applyFont="1" applyBorder="1" applyAlignment="1">
      <alignment horizontal="center"/>
    </xf>
    <xf numFmtId="0" fontId="1" fillId="0" borderId="26" xfId="1" applyFont="1" applyBorder="1" applyAlignment="1">
      <alignment horizontal="center"/>
    </xf>
    <xf numFmtId="0" fontId="1" fillId="0" borderId="27" xfId="1" applyFont="1" applyBorder="1" applyAlignment="1">
      <alignment horizontal="center"/>
    </xf>
    <xf numFmtId="9" fontId="22" fillId="0" borderId="21" xfId="1" applyNumberFormat="1" applyFont="1" applyBorder="1" applyAlignment="1">
      <alignment horizontal="center"/>
    </xf>
    <xf numFmtId="168" fontId="22" fillId="0" borderId="15" xfId="1" applyNumberFormat="1" applyFont="1" applyBorder="1" applyAlignment="1">
      <alignment horizontal="center"/>
    </xf>
    <xf numFmtId="165" fontId="22" fillId="0" borderId="15" xfId="1" applyNumberFormat="1" applyFont="1" applyBorder="1" applyAlignment="1">
      <alignment horizontal="center"/>
    </xf>
    <xf numFmtId="2" fontId="22" fillId="0" borderId="22" xfId="1" applyNumberFormat="1" applyFont="1" applyBorder="1" applyAlignment="1">
      <alignment horizontal="center"/>
    </xf>
    <xf numFmtId="168" fontId="22" fillId="0" borderId="11" xfId="1" applyNumberFormat="1" applyFont="1" applyBorder="1"/>
    <xf numFmtId="9" fontId="22" fillId="0" borderId="25" xfId="1" applyNumberFormat="1" applyFont="1" applyBorder="1" applyAlignment="1">
      <alignment horizontal="center"/>
    </xf>
    <xf numFmtId="168" fontId="22" fillId="0" borderId="11" xfId="1" applyNumberFormat="1" applyFont="1" applyBorder="1" applyAlignment="1">
      <alignment horizontal="center"/>
    </xf>
    <xf numFmtId="165" fontId="22" fillId="0" borderId="11" xfId="1" applyNumberFormat="1" applyFont="1" applyBorder="1" applyAlignment="1">
      <alignment horizontal="center"/>
    </xf>
    <xf numFmtId="2" fontId="22" fillId="0" borderId="24" xfId="1" applyNumberFormat="1" applyFont="1" applyBorder="1" applyAlignment="1">
      <alignment horizontal="center"/>
    </xf>
    <xf numFmtId="9" fontId="22" fillId="0" borderId="26" xfId="1" applyNumberFormat="1" applyFont="1" applyBorder="1" applyAlignment="1">
      <alignment horizontal="center"/>
    </xf>
    <xf numFmtId="168" fontId="22" fillId="0" borderId="16" xfId="1" applyNumberFormat="1" applyFont="1" applyBorder="1" applyAlignment="1">
      <alignment horizontal="center"/>
    </xf>
    <xf numFmtId="165" fontId="22" fillId="0" borderId="16" xfId="1" applyNumberFormat="1" applyFont="1" applyBorder="1" applyAlignment="1">
      <alignment horizontal="center"/>
    </xf>
    <xf numFmtId="2" fontId="22" fillId="0" borderId="27" xfId="1" applyNumberFormat="1" applyFont="1" applyBorder="1" applyAlignment="1">
      <alignment horizontal="center"/>
    </xf>
    <xf numFmtId="0" fontId="8" fillId="0" borderId="0" xfId="1" applyFont="1" applyAlignment="1">
      <alignment horizontal="left"/>
    </xf>
    <xf numFmtId="0" fontId="22" fillId="0" borderId="0" xfId="1" applyFont="1" applyAlignment="1">
      <alignment horizontal="center"/>
    </xf>
    <xf numFmtId="0" fontId="28" fillId="0" borderId="0" xfId="1" applyFont="1"/>
    <xf numFmtId="0" fontId="22" fillId="0" borderId="0" xfId="1" applyFont="1" applyAlignment="1">
      <alignment horizontal="right"/>
    </xf>
    <xf numFmtId="0" fontId="1" fillId="0" borderId="32" xfId="1" applyFont="1" applyBorder="1" applyAlignment="1">
      <alignment horizontal="center"/>
    </xf>
    <xf numFmtId="0" fontId="1" fillId="0" borderId="25" xfId="1" applyFont="1" applyBorder="1" applyAlignment="1">
      <alignment horizontal="center"/>
    </xf>
    <xf numFmtId="0" fontId="1" fillId="0" borderId="24" xfId="1" applyFont="1" applyBorder="1" applyAlignment="1">
      <alignment horizontal="center"/>
    </xf>
    <xf numFmtId="2" fontId="22" fillId="0" borderId="15" xfId="1" applyNumberFormat="1" applyFont="1" applyBorder="1" applyAlignment="1">
      <alignment horizontal="center"/>
    </xf>
    <xf numFmtId="165" fontId="22" fillId="0" borderId="24" xfId="1" applyNumberFormat="1" applyFont="1" applyBorder="1"/>
    <xf numFmtId="2" fontId="22" fillId="0" borderId="11" xfId="1" applyNumberFormat="1" applyFont="1" applyBorder="1" applyAlignment="1">
      <alignment horizontal="center"/>
    </xf>
    <xf numFmtId="0" fontId="22" fillId="0" borderId="0" xfId="1" applyFont="1" applyBorder="1"/>
    <xf numFmtId="164" fontId="29" fillId="0" borderId="0" xfId="1" applyNumberFormat="1" applyFont="1" applyFill="1" applyBorder="1"/>
    <xf numFmtId="2" fontId="22" fillId="0" borderId="16" xfId="1" applyNumberFormat="1" applyFont="1" applyBorder="1" applyAlignment="1">
      <alignment horizontal="center"/>
    </xf>
    <xf numFmtId="0" fontId="22" fillId="0" borderId="10" xfId="1" applyFont="1" applyBorder="1" applyAlignment="1">
      <alignment horizontal="center"/>
    </xf>
    <xf numFmtId="165" fontId="22" fillId="0" borderId="31" xfId="1" applyNumberFormat="1" applyFont="1" applyBorder="1"/>
    <xf numFmtId="0" fontId="30" fillId="0" borderId="26" xfId="1" applyFont="1" applyBorder="1" applyAlignment="1">
      <alignment horizontal="center"/>
    </xf>
    <xf numFmtId="165" fontId="22" fillId="0" borderId="27" xfId="1" applyNumberFormat="1" applyFont="1" applyFill="1" applyBorder="1" applyAlignment="1">
      <alignment horizontal="center"/>
    </xf>
    <xf numFmtId="2" fontId="22" fillId="0" borderId="0" xfId="1" applyNumberFormat="1" applyFont="1" applyAlignment="1">
      <alignment horizontal="center"/>
    </xf>
    <xf numFmtId="2" fontId="22" fillId="0" borderId="0" xfId="1" applyNumberFormat="1" applyFont="1" applyAlignment="1">
      <alignment horizontal="left"/>
    </xf>
    <xf numFmtId="0" fontId="31" fillId="0" borderId="0" xfId="1" applyFont="1"/>
    <xf numFmtId="0" fontId="8" fillId="0" borderId="6" xfId="1" applyFont="1" applyBorder="1"/>
    <xf numFmtId="0" fontId="22" fillId="0" borderId="6" xfId="1" applyFont="1" applyBorder="1" applyAlignment="1">
      <alignment horizontal="left"/>
    </xf>
    <xf numFmtId="0" fontId="8" fillId="0" borderId="6" xfId="1" applyFont="1" applyBorder="1" applyAlignment="1">
      <alignment horizontal="center"/>
    </xf>
    <xf numFmtId="1" fontId="22" fillId="0" borderId="6" xfId="1" applyNumberFormat="1" applyFont="1" applyBorder="1" applyAlignment="1">
      <alignment horizontal="left"/>
    </xf>
    <xf numFmtId="14" fontId="22" fillId="0" borderId="0" xfId="1" applyNumberFormat="1" applyFont="1"/>
    <xf numFmtId="0" fontId="1" fillId="0" borderId="10" xfId="1" applyFont="1" applyBorder="1"/>
    <xf numFmtId="0" fontId="1" fillId="0" borderId="36" xfId="1" applyFont="1" applyBorder="1"/>
    <xf numFmtId="0" fontId="1" fillId="0" borderId="37" xfId="1" applyFont="1" applyBorder="1" applyAlignment="1">
      <alignment horizontal="center"/>
    </xf>
    <xf numFmtId="0" fontId="5" fillId="0" borderId="16" xfId="1" applyFont="1" applyBorder="1" applyAlignment="1">
      <alignment horizontal="center"/>
    </xf>
    <xf numFmtId="0" fontId="22" fillId="0" borderId="6" xfId="1" applyFont="1" applyBorder="1"/>
    <xf numFmtId="0" fontId="5" fillId="0" borderId="16" xfId="1" applyFont="1" applyBorder="1"/>
    <xf numFmtId="2" fontId="22" fillId="0" borderId="11" xfId="1" applyNumberFormat="1" applyFont="1" applyBorder="1"/>
    <xf numFmtId="0" fontId="32" fillId="0" borderId="0" xfId="1" applyFont="1" applyProtection="1"/>
    <xf numFmtId="0" fontId="4" fillId="0" borderId="6" xfId="1" applyFont="1" applyBorder="1" applyProtection="1"/>
    <xf numFmtId="0" fontId="33" fillId="0" borderId="6" xfId="1" applyFont="1" applyBorder="1" applyProtection="1"/>
    <xf numFmtId="0" fontId="33" fillId="0" borderId="0" xfId="1" applyFont="1" applyProtection="1"/>
    <xf numFmtId="0" fontId="4" fillId="0" borderId="0" xfId="1" applyFont="1" applyProtection="1"/>
    <xf numFmtId="0" fontId="4" fillId="0" borderId="6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left"/>
    </xf>
    <xf numFmtId="0" fontId="34" fillId="0" borderId="0" xfId="1" applyFont="1" applyProtection="1"/>
    <xf numFmtId="0" fontId="4" fillId="0" borderId="0" xfId="1" applyFont="1" applyAlignment="1" applyProtection="1">
      <alignment horizontal="right"/>
    </xf>
    <xf numFmtId="1" fontId="4" fillId="0" borderId="0" xfId="1" applyNumberFormat="1" applyFont="1" applyAlignment="1" applyProtection="1">
      <alignment horizontal="right"/>
    </xf>
    <xf numFmtId="0" fontId="32" fillId="0" borderId="0" xfId="1" applyFont="1" applyAlignment="1" applyProtection="1">
      <alignment horizontal="right"/>
    </xf>
    <xf numFmtId="0" fontId="32" fillId="0" borderId="0" xfId="1" applyFont="1" applyAlignment="1" applyProtection="1">
      <alignment horizontal="center"/>
    </xf>
    <xf numFmtId="0" fontId="32" fillId="0" borderId="0" xfId="1" applyFont="1" applyAlignment="1" applyProtection="1">
      <alignment horizontal="left"/>
    </xf>
    <xf numFmtId="0" fontId="36" fillId="0" borderId="0" xfId="1" applyFont="1" applyProtection="1"/>
    <xf numFmtId="0" fontId="37" fillId="0" borderId="0" xfId="1" applyFont="1" applyAlignment="1" applyProtection="1">
      <alignment horizontal="center"/>
    </xf>
    <xf numFmtId="0" fontId="37" fillId="0" borderId="0" xfId="1" applyFont="1" applyProtection="1"/>
    <xf numFmtId="0" fontId="32" fillId="0" borderId="0" xfId="1" applyFont="1" applyBorder="1" applyAlignment="1" applyProtection="1">
      <alignment horizontal="center"/>
    </xf>
    <xf numFmtId="165" fontId="32" fillId="0" borderId="0" xfId="1" applyNumberFormat="1" applyFont="1" applyProtection="1"/>
    <xf numFmtId="164" fontId="32" fillId="0" borderId="0" xfId="1" applyNumberFormat="1" applyFont="1" applyProtection="1"/>
    <xf numFmtId="0" fontId="32" fillId="0" borderId="0" xfId="1" applyFont="1" applyBorder="1" applyAlignment="1" applyProtection="1"/>
    <xf numFmtId="0" fontId="32" fillId="0" borderId="0" xfId="1" applyFont="1" applyBorder="1" applyAlignment="1" applyProtection="1">
      <alignment horizontal="left"/>
    </xf>
    <xf numFmtId="2" fontId="32" fillId="0" borderId="0" xfId="1" applyNumberFormat="1" applyFont="1" applyProtection="1"/>
    <xf numFmtId="1" fontId="32" fillId="0" borderId="0" xfId="1" applyNumberFormat="1" applyFont="1" applyBorder="1" applyAlignment="1" applyProtection="1"/>
    <xf numFmtId="0" fontId="32" fillId="0" borderId="0" xfId="1" applyFont="1" applyBorder="1" applyProtection="1"/>
    <xf numFmtId="169" fontId="32" fillId="0" borderId="0" xfId="1" applyNumberFormat="1" applyFont="1" applyBorder="1" applyProtection="1"/>
    <xf numFmtId="2" fontId="32" fillId="0" borderId="0" xfId="1" applyNumberFormat="1" applyFont="1" applyBorder="1" applyProtection="1"/>
    <xf numFmtId="169" fontId="32" fillId="0" borderId="0" xfId="1" applyNumberFormat="1" applyFont="1" applyProtection="1"/>
    <xf numFmtId="0" fontId="39" fillId="0" borderId="0" xfId="1" applyFont="1" applyAlignment="1" applyProtection="1">
      <alignment horizontal="right"/>
    </xf>
    <xf numFmtId="10" fontId="32" fillId="0" borderId="0" xfId="1" applyNumberFormat="1" applyFont="1" applyProtection="1"/>
    <xf numFmtId="2" fontId="32" fillId="0" borderId="0" xfId="1" applyNumberFormat="1" applyFont="1" applyAlignment="1" applyProtection="1">
      <alignment horizontal="center"/>
    </xf>
    <xf numFmtId="1" fontId="32" fillId="0" borderId="0" xfId="1" applyNumberFormat="1" applyFont="1" applyAlignment="1" applyProtection="1">
      <alignment horizontal="center"/>
    </xf>
    <xf numFmtId="1" fontId="6" fillId="0" borderId="11" xfId="1" applyNumberFormat="1" applyFont="1" applyBorder="1" applyProtection="1">
      <protection locked="0"/>
    </xf>
    <xf numFmtId="165" fontId="7" fillId="0" borderId="11" xfId="1" applyNumberFormat="1" applyFont="1" applyFill="1" applyBorder="1" applyAlignment="1" applyProtection="1">
      <alignment horizontal="center" vertical="center"/>
      <protection locked="0"/>
    </xf>
    <xf numFmtId="168" fontId="7" fillId="0" borderId="11" xfId="1" applyNumberFormat="1" applyFont="1" applyFill="1" applyBorder="1" applyAlignment="1" applyProtection="1">
      <alignment horizontal="center" vertical="center"/>
    </xf>
    <xf numFmtId="164" fontId="7" fillId="0" borderId="11" xfId="1" applyNumberFormat="1" applyFont="1" applyFill="1" applyBorder="1" applyAlignment="1" applyProtection="1">
      <alignment horizontal="center" vertical="center"/>
      <protection locked="0"/>
    </xf>
    <xf numFmtId="167" fontId="7" fillId="0" borderId="11" xfId="1" applyNumberFormat="1" applyFont="1" applyBorder="1" applyAlignment="1" applyProtection="1">
      <alignment horizontal="center" vertical="center"/>
      <protection locked="0"/>
    </xf>
    <xf numFmtId="167" fontId="7" fillId="0" borderId="11" xfId="1" applyNumberFormat="1" applyFont="1" applyFill="1" applyBorder="1" applyAlignment="1" applyProtection="1">
      <alignment horizontal="center" vertical="center"/>
      <protection locked="0"/>
    </xf>
    <xf numFmtId="14" fontId="6" fillId="0" borderId="15" xfId="1" applyNumberFormat="1" applyFont="1" applyBorder="1" applyProtection="1"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2" fontId="6" fillId="3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2" fillId="0" borderId="2" xfId="0" applyFont="1" applyFill="1" applyBorder="1" applyAlignment="1" applyProtection="1">
      <alignment horizontal="center" vertical="center"/>
    </xf>
    <xf numFmtId="0" fontId="22" fillId="0" borderId="11" xfId="1" applyFont="1" applyBorder="1" applyAlignment="1">
      <alignment horizontal="center"/>
    </xf>
    <xf numFmtId="0" fontId="1" fillId="0" borderId="33" xfId="1" applyFont="1" applyBorder="1" applyAlignment="1">
      <alignment horizontal="center"/>
    </xf>
    <xf numFmtId="0" fontId="22" fillId="0" borderId="16" xfId="1" applyFont="1" applyBorder="1" applyAlignment="1">
      <alignment horizontal="center"/>
    </xf>
    <xf numFmtId="0" fontId="22" fillId="0" borderId="9" xfId="1" applyFont="1" applyBorder="1" applyAlignment="1">
      <alignment horizontal="center"/>
    </xf>
    <xf numFmtId="0" fontId="22" fillId="0" borderId="8" xfId="1" applyFont="1" applyBorder="1" applyAlignment="1">
      <alignment horizontal="center"/>
    </xf>
    <xf numFmtId="0" fontId="22" fillId="0" borderId="0" xfId="1" applyFont="1" applyAlignment="1">
      <alignment horizontal="left"/>
    </xf>
    <xf numFmtId="0" fontId="22" fillId="0" borderId="26" xfId="1" applyFont="1" applyBorder="1" applyAlignment="1">
      <alignment horizontal="center"/>
    </xf>
    <xf numFmtId="0" fontId="1" fillId="0" borderId="32" xfId="1" applyFont="1" applyBorder="1" applyAlignment="1">
      <alignment horizontal="center"/>
    </xf>
    <xf numFmtId="0" fontId="1" fillId="0" borderId="34" xfId="1" applyFont="1" applyBorder="1" applyAlignment="1">
      <alignment horizontal="center"/>
    </xf>
    <xf numFmtId="0" fontId="1" fillId="0" borderId="25" xfId="1" applyFont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1" fillId="0" borderId="26" xfId="1" applyFont="1" applyBorder="1" applyAlignment="1">
      <alignment horizontal="center"/>
    </xf>
    <xf numFmtId="0" fontId="1" fillId="0" borderId="16" xfId="1" applyFont="1" applyBorder="1" applyAlignment="1">
      <alignment horizontal="center"/>
    </xf>
    <xf numFmtId="0" fontId="22" fillId="0" borderId="15" xfId="1" applyFont="1" applyBorder="1" applyAlignment="1">
      <alignment horizontal="center"/>
    </xf>
    <xf numFmtId="0" fontId="22" fillId="0" borderId="23" xfId="1" applyFont="1" applyBorder="1" applyAlignment="1">
      <alignment horizontal="center"/>
    </xf>
    <xf numFmtId="0" fontId="22" fillId="0" borderId="28" xfId="1" applyFont="1" applyBorder="1" applyAlignment="1">
      <alignment horizontal="center"/>
    </xf>
    <xf numFmtId="0" fontId="22" fillId="0" borderId="29" xfId="1" applyFont="1" applyBorder="1" applyAlignment="1">
      <alignment horizontal="center"/>
    </xf>
    <xf numFmtId="0" fontId="22" fillId="0" borderId="30" xfId="1" applyFont="1" applyBorder="1" applyAlignment="1">
      <alignment horizontal="center"/>
    </xf>
    <xf numFmtId="0" fontId="22" fillId="0" borderId="25" xfId="1" applyFont="1" applyBorder="1" applyAlignment="1">
      <alignment horizontal="center"/>
    </xf>
    <xf numFmtId="0" fontId="22" fillId="0" borderId="21" xfId="1" applyFont="1" applyBorder="1" applyAlignment="1">
      <alignment horizontal="center"/>
    </xf>
    <xf numFmtId="0" fontId="1" fillId="0" borderId="18" xfId="1" applyFont="1" applyBorder="1" applyAlignment="1">
      <alignment horizontal="center"/>
    </xf>
    <xf numFmtId="0" fontId="1" fillId="0" borderId="19" xfId="1" applyFont="1" applyBorder="1" applyAlignment="1">
      <alignment horizontal="center"/>
    </xf>
    <xf numFmtId="0" fontId="19" fillId="0" borderId="0" xfId="1" applyFont="1" applyAlignment="1">
      <alignment horizontal="center"/>
    </xf>
    <xf numFmtId="0" fontId="22" fillId="0" borderId="0" xfId="1" applyFont="1" applyAlignment="1">
      <alignment horizontal="left" wrapText="1"/>
    </xf>
    <xf numFmtId="0" fontId="26" fillId="0" borderId="11" xfId="1" applyFont="1" applyBorder="1" applyAlignment="1" applyProtection="1">
      <alignment horizontal="center"/>
      <protection hidden="1"/>
    </xf>
    <xf numFmtId="0" fontId="8" fillId="0" borderId="15" xfId="1" applyFont="1" applyBorder="1" applyAlignment="1">
      <alignment horizontal="center"/>
    </xf>
    <xf numFmtId="165" fontId="22" fillId="0" borderId="15" xfId="1" applyNumberFormat="1" applyFont="1" applyBorder="1" applyAlignment="1">
      <alignment horizontal="center"/>
    </xf>
    <xf numFmtId="0" fontId="8" fillId="0" borderId="11" xfId="1" applyFont="1" applyBorder="1" applyAlignment="1">
      <alignment horizontal="center"/>
    </xf>
    <xf numFmtId="165" fontId="22" fillId="0" borderId="11" xfId="1" applyNumberFormat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1" fillId="0" borderId="36" xfId="1" applyFont="1" applyBorder="1" applyAlignment="1">
      <alignment horizontal="center"/>
    </xf>
    <xf numFmtId="0" fontId="1" fillId="0" borderId="38" xfId="1" applyFont="1" applyBorder="1" applyAlignment="1">
      <alignment horizontal="center"/>
    </xf>
    <xf numFmtId="0" fontId="1" fillId="0" borderId="37" xfId="1" applyFont="1" applyBorder="1" applyAlignment="1">
      <alignment horizontal="center"/>
    </xf>
    <xf numFmtId="0" fontId="1" fillId="0" borderId="9" xfId="1" applyFont="1" applyBorder="1" applyAlignment="1">
      <alignment horizontal="center"/>
    </xf>
    <xf numFmtId="0" fontId="1" fillId="0" borderId="8" xfId="1" applyFont="1" applyBorder="1" applyAlignment="1">
      <alignment horizontal="center"/>
    </xf>
    <xf numFmtId="0" fontId="4" fillId="0" borderId="6" xfId="1" applyFont="1" applyBorder="1" applyAlignment="1" applyProtection="1">
      <alignment horizontal="left"/>
    </xf>
    <xf numFmtId="0" fontId="32" fillId="0" borderId="0" xfId="1" applyFont="1" applyBorder="1" applyAlignment="1" applyProtection="1">
      <alignment horizontal="center"/>
    </xf>
  </cellXfs>
  <cellStyles count="2">
    <cellStyle name="Normal" xfId="0" builtinId="0"/>
    <cellStyle name="Normal 2" xfId="1"/>
  </cellStyles>
  <dxfs count="24"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b/>
        <i val="0"/>
        <strike val="0"/>
        <condense val="0"/>
        <extend val="0"/>
        <color indexed="12"/>
      </font>
      <fill>
        <patternFill>
          <bgColor indexed="53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auto="1"/>
      </font>
      <fill>
        <patternFill>
          <bgColor indexed="10"/>
        </patternFill>
      </fill>
      <border>
        <left style="thin">
          <color indexed="48"/>
        </left>
        <right style="thin">
          <color indexed="48"/>
        </right>
        <top style="thin">
          <color indexed="48"/>
        </top>
        <bottom style="thin">
          <color indexed="48"/>
        </bottom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file:///C:\bhelnew.BMP" TargetMode="External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file:///C:\bhelnew.BMP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file:///C:\bhelnew.BMP" TargetMode="External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76200</xdr:rowOff>
    </xdr:from>
    <xdr:to>
      <xdr:col>0</xdr:col>
      <xdr:colOff>590550</xdr:colOff>
      <xdr:row>1</xdr:row>
      <xdr:rowOff>200025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76200"/>
          <a:ext cx="533400" cy="409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95250</xdr:rowOff>
        </xdr:from>
        <xdr:to>
          <xdr:col>10</xdr:col>
          <xdr:colOff>457200</xdr:colOff>
          <xdr:row>1</xdr:row>
          <xdr:rowOff>228600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300037</xdr:colOff>
      <xdr:row>50</xdr:row>
      <xdr:rowOff>47625</xdr:rowOff>
    </xdr:from>
    <xdr:to>
      <xdr:col>8</xdr:col>
      <xdr:colOff>271462</xdr:colOff>
      <xdr:row>51</xdr:row>
      <xdr:rowOff>142875</xdr:rowOff>
    </xdr:to>
    <xdr:pic>
      <xdr:nvPicPr>
        <xdr:cNvPr id="2" name="testedbysign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7787" y="9858375"/>
          <a:ext cx="571500" cy="285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104775</xdr:rowOff>
    </xdr:from>
    <xdr:to>
      <xdr:col>1</xdr:col>
      <xdr:colOff>19050</xdr:colOff>
      <xdr:row>2</xdr:row>
      <xdr:rowOff>133350</xdr:rowOff>
    </xdr:to>
    <xdr:pic>
      <xdr:nvPicPr>
        <xdr:cNvPr id="2" name="Picture 1" descr="C:\bhelnew.BMP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lum bright="-12000" contrast="78000"/>
        </a:blip>
        <a:srcRect/>
        <a:stretch>
          <a:fillRect/>
        </a:stretch>
      </xdr:blipFill>
      <xdr:spPr bwMode="auto">
        <a:xfrm>
          <a:off x="85725" y="104775"/>
          <a:ext cx="7239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104775</xdr:rowOff>
    </xdr:from>
    <xdr:to>
      <xdr:col>1</xdr:col>
      <xdr:colOff>57150</xdr:colOff>
      <xdr:row>2</xdr:row>
      <xdr:rowOff>200025</xdr:rowOff>
    </xdr:to>
    <xdr:pic>
      <xdr:nvPicPr>
        <xdr:cNvPr id="2" name="Picture 1" descr="C:\bhelnew.BMP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lum bright="-12000" contrast="78000"/>
        </a:blip>
        <a:srcRect/>
        <a:stretch>
          <a:fillRect/>
        </a:stretch>
      </xdr:blipFill>
      <xdr:spPr bwMode="auto">
        <a:xfrm>
          <a:off x="95250" y="104775"/>
          <a:ext cx="7239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142875</xdr:rowOff>
    </xdr:from>
    <xdr:to>
      <xdr:col>1</xdr:col>
      <xdr:colOff>95250</xdr:colOff>
      <xdr:row>2</xdr:row>
      <xdr:rowOff>238125</xdr:rowOff>
    </xdr:to>
    <xdr:pic>
      <xdr:nvPicPr>
        <xdr:cNvPr id="2" name="Picture 1" descr="C:\bhelnew.BMP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lum bright="-12000" contrast="78000"/>
        </a:blip>
        <a:srcRect/>
        <a:stretch>
          <a:fillRect/>
        </a:stretch>
      </xdr:blipFill>
      <xdr:spPr bwMode="auto">
        <a:xfrm>
          <a:off x="133350" y="142875"/>
          <a:ext cx="7239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28580</xdr:colOff>
      <xdr:row>1</xdr:row>
      <xdr:rowOff>16</xdr:rowOff>
    </xdr:from>
    <xdr:to>
      <xdr:col>9</xdr:col>
      <xdr:colOff>315369</xdr:colOff>
      <xdr:row>1</xdr:row>
      <xdr:rowOff>232773</xdr:rowOff>
    </xdr:to>
    <xdr:pic>
      <xdr:nvPicPr>
        <xdr:cNvPr id="2" name="Picture 1" descr="BHEL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24530" y="85741"/>
          <a:ext cx="286789" cy="2327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59"/>
  <sheetViews>
    <sheetView tabSelected="1" workbookViewId="0">
      <selection activeCell="D9" sqref="D9"/>
    </sheetView>
  </sheetViews>
  <sheetFormatPr defaultRowHeight="15"/>
  <cols>
    <col min="1" max="1" width="9.85546875" style="89" customWidth="1"/>
    <col min="2" max="2" width="10.28515625" style="89" customWidth="1"/>
    <col min="3" max="3" width="13.140625" style="89" customWidth="1"/>
    <col min="4" max="4" width="7.42578125" style="89" customWidth="1"/>
    <col min="5" max="5" width="9.28515625" style="89" customWidth="1"/>
    <col min="6" max="6" width="12.140625" style="89" customWidth="1"/>
    <col min="7" max="7" width="10.7109375" style="89" customWidth="1"/>
    <col min="8" max="8" width="9" style="89" customWidth="1"/>
    <col min="9" max="9" width="9.5703125" style="89" customWidth="1"/>
    <col min="10" max="16384" width="9.140625" style="89"/>
  </cols>
  <sheetData>
    <row r="1" spans="1:13" ht="22.5">
      <c r="A1" s="107"/>
      <c r="B1" s="302" t="s">
        <v>114</v>
      </c>
      <c r="C1" s="302"/>
      <c r="D1" s="302"/>
      <c r="E1" s="302"/>
      <c r="F1" s="302"/>
      <c r="G1" s="302"/>
      <c r="H1" s="302"/>
      <c r="I1" s="1"/>
      <c r="J1" s="91"/>
      <c r="K1" s="91"/>
    </row>
    <row r="2" spans="1:13" ht="22.5">
      <c r="A2" s="2"/>
      <c r="B2" s="301" t="s">
        <v>115</v>
      </c>
      <c r="C2" s="301"/>
      <c r="D2" s="301"/>
      <c r="E2" s="301"/>
      <c r="F2" s="301"/>
      <c r="G2" s="301"/>
      <c r="H2" s="301"/>
      <c r="I2" s="3"/>
      <c r="J2" s="91"/>
      <c r="K2" s="91"/>
    </row>
    <row r="3" spans="1:13" ht="22.5">
      <c r="A3" s="2"/>
      <c r="B3" s="300" t="s">
        <v>117</v>
      </c>
      <c r="C3" s="300"/>
      <c r="D3" s="300"/>
      <c r="E3" s="300"/>
      <c r="F3" s="300"/>
      <c r="G3" s="300"/>
      <c r="H3" s="300"/>
      <c r="I3" s="3"/>
    </row>
    <row r="4" spans="1:13">
      <c r="A4" s="4"/>
      <c r="B4" s="5" t="s">
        <v>0</v>
      </c>
      <c r="C4" s="121" t="s">
        <v>473</v>
      </c>
      <c r="D4" s="94"/>
      <c r="E4" s="7"/>
      <c r="F4" s="6"/>
      <c r="G4" s="7" t="s">
        <v>113</v>
      </c>
      <c r="H4" s="7" t="s">
        <v>112</v>
      </c>
      <c r="I4" s="90"/>
    </row>
    <row r="5" spans="1:13">
      <c r="A5" s="9"/>
      <c r="B5" s="10" t="s">
        <v>1</v>
      </c>
      <c r="C5" s="10">
        <v>7775</v>
      </c>
      <c r="D5" s="11"/>
      <c r="E5" s="11"/>
      <c r="F5" s="12" t="s">
        <v>2</v>
      </c>
      <c r="G5" s="122">
        <v>523</v>
      </c>
      <c r="H5" s="123">
        <v>2046943</v>
      </c>
      <c r="I5" s="13"/>
    </row>
    <row r="6" spans="1:13">
      <c r="A6" s="9"/>
      <c r="B6" s="10" t="s">
        <v>3</v>
      </c>
      <c r="C6" s="10" t="s">
        <v>4</v>
      </c>
      <c r="D6" s="11"/>
      <c r="E6" s="11"/>
      <c r="F6" s="12" t="s">
        <v>5</v>
      </c>
      <c r="G6" s="122">
        <v>496</v>
      </c>
      <c r="H6" s="123">
        <v>2046987</v>
      </c>
      <c r="I6" s="13"/>
    </row>
    <row r="7" spans="1:13">
      <c r="A7" s="87"/>
      <c r="B7" s="88" t="s">
        <v>6</v>
      </c>
      <c r="C7" s="88" t="s">
        <v>7</v>
      </c>
      <c r="D7" s="14"/>
      <c r="E7" s="14"/>
      <c r="F7" s="15" t="s">
        <v>8</v>
      </c>
      <c r="G7" s="124">
        <v>496</v>
      </c>
      <c r="H7" s="125">
        <v>2047031</v>
      </c>
      <c r="I7" s="16"/>
      <c r="M7" s="91"/>
    </row>
    <row r="8" spans="1:13">
      <c r="A8" s="50" t="s">
        <v>9</v>
      </c>
      <c r="B8" s="11"/>
      <c r="C8" s="11"/>
      <c r="D8" s="11"/>
      <c r="E8" s="13"/>
      <c r="F8" s="85" t="s">
        <v>10</v>
      </c>
      <c r="G8" s="111"/>
      <c r="H8" s="298">
        <v>18</v>
      </c>
      <c r="I8" s="86" t="s">
        <v>11</v>
      </c>
    </row>
    <row r="9" spans="1:13">
      <c r="A9" s="18"/>
      <c r="B9" s="8" t="s">
        <v>12</v>
      </c>
      <c r="C9" s="19" t="s">
        <v>13</v>
      </c>
      <c r="D9" s="299">
        <v>19.72</v>
      </c>
      <c r="E9" s="20"/>
      <c r="F9" s="21" t="s">
        <v>2</v>
      </c>
      <c r="G9" s="19" t="s">
        <v>14</v>
      </c>
      <c r="H9" s="99">
        <v>0.49669999999999997</v>
      </c>
      <c r="I9" s="22" t="s">
        <v>15</v>
      </c>
    </row>
    <row r="10" spans="1:13">
      <c r="A10" s="4"/>
      <c r="B10" s="23"/>
      <c r="C10" s="19" t="s">
        <v>16</v>
      </c>
      <c r="D10" s="98">
        <v>19.71</v>
      </c>
      <c r="E10" s="24"/>
      <c r="F10" s="25"/>
      <c r="G10" s="19" t="s">
        <v>13</v>
      </c>
      <c r="H10" s="99">
        <v>9.9670000000000005</v>
      </c>
      <c r="I10" s="22" t="s">
        <v>17</v>
      </c>
    </row>
    <row r="11" spans="1:13">
      <c r="A11" s="9"/>
      <c r="B11" s="26"/>
      <c r="C11" s="19" t="s">
        <v>18</v>
      </c>
      <c r="D11" s="98">
        <v>19.72</v>
      </c>
      <c r="E11" s="24"/>
      <c r="F11" s="25"/>
      <c r="G11" s="19" t="s">
        <v>16</v>
      </c>
      <c r="H11" s="99">
        <v>9.4369999999999994</v>
      </c>
      <c r="I11" s="22" t="s">
        <v>17</v>
      </c>
    </row>
    <row r="12" spans="1:13">
      <c r="A12" s="9"/>
      <c r="B12" s="26"/>
      <c r="C12" s="19" t="s">
        <v>19</v>
      </c>
      <c r="D12" s="98">
        <v>19.71</v>
      </c>
      <c r="E12" s="24"/>
      <c r="F12" s="25"/>
      <c r="G12" s="19" t="s">
        <v>18</v>
      </c>
      <c r="H12" s="99">
        <v>9.2720000000000002</v>
      </c>
      <c r="I12" s="22" t="s">
        <v>17</v>
      </c>
    </row>
    <row r="13" spans="1:13">
      <c r="A13" s="9"/>
      <c r="B13" s="26"/>
      <c r="C13" s="19" t="s">
        <v>20</v>
      </c>
      <c r="D13" s="98">
        <v>21.67</v>
      </c>
      <c r="E13" s="24"/>
      <c r="F13" s="25"/>
      <c r="G13" s="19" t="s">
        <v>19</v>
      </c>
      <c r="H13" s="99">
        <v>9.1470000000000002</v>
      </c>
      <c r="I13" s="22" t="s">
        <v>17</v>
      </c>
    </row>
    <row r="14" spans="1:13">
      <c r="A14" s="9"/>
      <c r="B14" s="26"/>
      <c r="C14" s="19" t="s">
        <v>21</v>
      </c>
      <c r="D14" s="98">
        <v>25</v>
      </c>
      <c r="E14" s="24"/>
      <c r="F14" s="25"/>
      <c r="G14" s="19" t="s">
        <v>20</v>
      </c>
      <c r="H14" s="99">
        <v>13.927</v>
      </c>
      <c r="I14" s="22" t="s">
        <v>17</v>
      </c>
      <c r="L14" s="91"/>
    </row>
    <row r="15" spans="1:13">
      <c r="A15" s="9"/>
      <c r="B15" s="13"/>
      <c r="C15" s="19" t="s">
        <v>22</v>
      </c>
      <c r="D15" s="98">
        <v>26</v>
      </c>
      <c r="E15" s="27"/>
      <c r="F15" s="25"/>
      <c r="G15" s="19" t="s">
        <v>21</v>
      </c>
      <c r="H15" s="99">
        <v>18.196999999999999</v>
      </c>
      <c r="I15" s="22" t="s">
        <v>17</v>
      </c>
    </row>
    <row r="16" spans="1:13">
      <c r="A16" s="130"/>
      <c r="B16" s="131"/>
      <c r="C16" s="19" t="s">
        <v>23</v>
      </c>
      <c r="D16" s="98">
        <v>26</v>
      </c>
      <c r="E16" s="28"/>
      <c r="F16" s="25"/>
      <c r="G16" s="19" t="s">
        <v>22</v>
      </c>
      <c r="H16" s="99">
        <v>12.792</v>
      </c>
      <c r="I16" s="22" t="s">
        <v>17</v>
      </c>
      <c r="M16" s="91"/>
    </row>
    <row r="17" spans="1:14">
      <c r="A17" s="29" t="s">
        <v>24</v>
      </c>
      <c r="B17" s="15"/>
      <c r="C17" s="30"/>
      <c r="D17" s="31"/>
      <c r="E17" s="14"/>
      <c r="F17" s="32"/>
      <c r="G17" s="19" t="s">
        <v>23</v>
      </c>
      <c r="H17" s="99">
        <v>12.827</v>
      </c>
      <c r="I17" s="22" t="s">
        <v>17</v>
      </c>
    </row>
    <row r="18" spans="1:14">
      <c r="A18" s="33" t="s">
        <v>25</v>
      </c>
      <c r="B18" s="15"/>
      <c r="C18" s="34"/>
      <c r="D18" s="35" t="s">
        <v>26</v>
      </c>
      <c r="E18" s="36" t="s">
        <v>27</v>
      </c>
      <c r="F18" s="37" t="s">
        <v>28</v>
      </c>
      <c r="G18" s="108" t="s">
        <v>29</v>
      </c>
      <c r="H18" s="99">
        <v>2.6819999999999999</v>
      </c>
      <c r="I18" s="22" t="s">
        <v>17</v>
      </c>
    </row>
    <row r="19" spans="1:14">
      <c r="A19" s="39" t="s">
        <v>30</v>
      </c>
      <c r="B19" s="30"/>
      <c r="C19" s="19"/>
      <c r="D19" s="40" t="s">
        <v>31</v>
      </c>
      <c r="E19" s="41" t="s">
        <v>27</v>
      </c>
      <c r="F19" s="37"/>
      <c r="G19" s="38" t="s">
        <v>32</v>
      </c>
      <c r="H19" s="99">
        <v>2.5270000000000001</v>
      </c>
      <c r="I19" s="112" t="s">
        <v>17</v>
      </c>
      <c r="K19" s="91"/>
    </row>
    <row r="20" spans="1:14">
      <c r="A20" s="39" t="s">
        <v>33</v>
      </c>
      <c r="B20" s="30"/>
      <c r="C20" s="19"/>
      <c r="D20" s="40" t="s">
        <v>26</v>
      </c>
      <c r="E20" s="41" t="s">
        <v>27</v>
      </c>
      <c r="F20" s="42" t="s">
        <v>8</v>
      </c>
      <c r="G20" s="38" t="s">
        <v>34</v>
      </c>
      <c r="H20" s="100">
        <v>46.57</v>
      </c>
      <c r="I20" s="22" t="s">
        <v>17</v>
      </c>
    </row>
    <row r="21" spans="1:14">
      <c r="A21" s="39" t="s">
        <v>35</v>
      </c>
      <c r="B21" s="30"/>
      <c r="C21" s="19"/>
      <c r="D21" s="40" t="s">
        <v>26</v>
      </c>
      <c r="E21" s="41" t="s">
        <v>27</v>
      </c>
      <c r="F21" s="43"/>
      <c r="G21" s="38" t="s">
        <v>36</v>
      </c>
      <c r="H21" s="100">
        <v>46.36</v>
      </c>
      <c r="I21" s="22" t="s">
        <v>17</v>
      </c>
    </row>
    <row r="22" spans="1:14">
      <c r="A22" s="39" t="s">
        <v>5</v>
      </c>
      <c r="B22" s="30"/>
      <c r="C22" s="19"/>
      <c r="D22" s="40" t="s">
        <v>37</v>
      </c>
      <c r="E22" s="41" t="s">
        <v>27</v>
      </c>
      <c r="F22" s="43"/>
      <c r="G22" s="38" t="s">
        <v>38</v>
      </c>
      <c r="H22" s="100">
        <v>46.17</v>
      </c>
      <c r="I22" s="22" t="s">
        <v>17</v>
      </c>
      <c r="L22" s="91"/>
    </row>
    <row r="23" spans="1:14">
      <c r="A23" s="39" t="s">
        <v>8</v>
      </c>
      <c r="B23" s="30"/>
      <c r="C23" s="19"/>
      <c r="D23" s="40" t="s">
        <v>39</v>
      </c>
      <c r="E23" s="41" t="s">
        <v>27</v>
      </c>
      <c r="F23" s="43"/>
      <c r="G23" s="38" t="s">
        <v>40</v>
      </c>
      <c r="H23" s="100">
        <v>46.27</v>
      </c>
      <c r="I23" s="22" t="s">
        <v>17</v>
      </c>
    </row>
    <row r="24" spans="1:14">
      <c r="A24" s="39" t="s">
        <v>41</v>
      </c>
      <c r="B24" s="30"/>
      <c r="C24" s="19"/>
      <c r="D24" s="40" t="s">
        <v>26</v>
      </c>
      <c r="E24" s="41" t="s">
        <v>27</v>
      </c>
      <c r="F24" s="43"/>
      <c r="G24" s="38" t="s">
        <v>42</v>
      </c>
      <c r="H24" s="100">
        <v>45.86</v>
      </c>
      <c r="I24" s="22" t="s">
        <v>17</v>
      </c>
    </row>
    <row r="25" spans="1:14">
      <c r="A25" s="44" t="s">
        <v>43</v>
      </c>
      <c r="B25" s="7"/>
      <c r="C25" s="45"/>
      <c r="D25" s="106">
        <v>18</v>
      </c>
      <c r="E25" s="22" t="s">
        <v>11</v>
      </c>
      <c r="F25" s="36"/>
      <c r="G25" s="38" t="s">
        <v>44</v>
      </c>
      <c r="H25" s="100">
        <v>45.72</v>
      </c>
      <c r="I25" s="22" t="s">
        <v>17</v>
      </c>
    </row>
    <row r="26" spans="1:14">
      <c r="A26" s="46" t="s">
        <v>45</v>
      </c>
      <c r="B26" s="47"/>
      <c r="C26" s="38" t="s">
        <v>46</v>
      </c>
      <c r="D26" s="109">
        <v>7.66</v>
      </c>
      <c r="E26" s="48" t="s">
        <v>116</v>
      </c>
      <c r="F26" s="17" t="s">
        <v>47</v>
      </c>
      <c r="G26" s="6"/>
      <c r="H26" s="103">
        <v>20</v>
      </c>
      <c r="I26" s="41" t="s">
        <v>11</v>
      </c>
    </row>
    <row r="27" spans="1:14">
      <c r="A27" s="46" t="s">
        <v>48</v>
      </c>
      <c r="B27" s="47"/>
      <c r="C27" s="38" t="s">
        <v>46</v>
      </c>
      <c r="D27" s="109">
        <v>14.7</v>
      </c>
      <c r="E27" s="48" t="s">
        <v>116</v>
      </c>
      <c r="F27" s="42" t="s">
        <v>49</v>
      </c>
      <c r="G27" s="38" t="s">
        <v>50</v>
      </c>
      <c r="H27" s="38" t="s">
        <v>3</v>
      </c>
      <c r="I27" s="38" t="s">
        <v>51</v>
      </c>
    </row>
    <row r="28" spans="1:14">
      <c r="A28" s="46" t="s">
        <v>52</v>
      </c>
      <c r="B28" s="47"/>
      <c r="C28" s="38" t="s">
        <v>46</v>
      </c>
      <c r="D28" s="109">
        <v>29.6</v>
      </c>
      <c r="E28" s="48" t="s">
        <v>116</v>
      </c>
      <c r="F28" s="49" t="s">
        <v>53</v>
      </c>
      <c r="G28" s="38" t="s">
        <v>54</v>
      </c>
      <c r="H28" s="38" t="s">
        <v>55</v>
      </c>
      <c r="I28" s="38" t="s">
        <v>56</v>
      </c>
    </row>
    <row r="29" spans="1:14">
      <c r="A29" s="46" t="s">
        <v>57</v>
      </c>
      <c r="B29" s="47"/>
      <c r="C29" s="38" t="s">
        <v>46</v>
      </c>
      <c r="D29" s="109">
        <v>100.7</v>
      </c>
      <c r="E29" s="48" t="s">
        <v>116</v>
      </c>
      <c r="F29" s="22" t="s">
        <v>58</v>
      </c>
      <c r="G29" s="101">
        <v>0.24</v>
      </c>
      <c r="H29" s="102">
        <v>89.9</v>
      </c>
      <c r="I29" s="102">
        <v>1.1000000000000001</v>
      </c>
      <c r="J29" s="114">
        <v>57.96</v>
      </c>
      <c r="K29" s="114">
        <v>36</v>
      </c>
      <c r="L29" s="113">
        <f t="shared" ref="L29:L35" si="0">I29*15000*(J29/K29)^2/1000</f>
        <v>42.769649999999999</v>
      </c>
      <c r="M29" s="113">
        <f>(J29^2*$H$9+(1449/1.269)^2*(H10/1000))*(235+$H$26)/(235+$H$8)/1000</f>
        <v>14.779563958284516</v>
      </c>
      <c r="N29" s="113">
        <f t="shared" ref="N29:N35" si="1">M29*310/(235+$H$26)+(L29-M29)*(235+$H$26)/310</f>
        <v>40.991416081640622</v>
      </c>
    </row>
    <row r="30" spans="1:14">
      <c r="A30" s="46" t="s">
        <v>59</v>
      </c>
      <c r="B30" s="47"/>
      <c r="C30" s="38" t="s">
        <v>46</v>
      </c>
      <c r="D30" s="109">
        <v>9.6999999999999993</v>
      </c>
      <c r="E30" s="48" t="s">
        <v>116</v>
      </c>
      <c r="F30" s="22" t="s">
        <v>60</v>
      </c>
      <c r="G30" s="101">
        <v>0.24</v>
      </c>
      <c r="H30" s="102">
        <v>90.3</v>
      </c>
      <c r="I30" s="102">
        <v>1.1000000000000001</v>
      </c>
      <c r="J30" s="114">
        <v>57.96</v>
      </c>
      <c r="K30" s="115">
        <v>36</v>
      </c>
      <c r="L30" s="113">
        <f t="shared" si="0"/>
        <v>42.769649999999999</v>
      </c>
      <c r="M30" s="113">
        <f t="shared" ref="M30:M32" si="2">(J30^2*$H$9+(1449/1.269)^2*(H11/1000))*(235+$H$26)/(235+$H$8)/1000</f>
        <v>14.083083307503276</v>
      </c>
      <c r="N30" s="113">
        <f t="shared" si="1"/>
        <v>40.717625617086199</v>
      </c>
    </row>
    <row r="31" spans="1:14">
      <c r="A31" s="46" t="s">
        <v>61</v>
      </c>
      <c r="B31" s="47"/>
      <c r="C31" s="38" t="s">
        <v>62</v>
      </c>
      <c r="D31" s="109">
        <v>67</v>
      </c>
      <c r="E31" s="48" t="s">
        <v>116</v>
      </c>
      <c r="F31" s="22" t="s">
        <v>63</v>
      </c>
      <c r="G31" s="101">
        <v>0.24</v>
      </c>
      <c r="H31" s="102">
        <v>90.2</v>
      </c>
      <c r="I31" s="102">
        <v>1.1000000000000001</v>
      </c>
      <c r="J31" s="114">
        <v>57.96</v>
      </c>
      <c r="K31" s="114">
        <v>36</v>
      </c>
      <c r="L31" s="113">
        <f t="shared" si="0"/>
        <v>42.769649999999999</v>
      </c>
      <c r="M31" s="113">
        <f t="shared" si="2"/>
        <v>13.86625442565629</v>
      </c>
      <c r="N31" s="113">
        <f t="shared" si="1"/>
        <v>40.632388963026813</v>
      </c>
    </row>
    <row r="32" spans="1:14">
      <c r="A32" s="46" t="s">
        <v>64</v>
      </c>
      <c r="B32" s="47"/>
      <c r="C32" s="38" t="s">
        <v>62</v>
      </c>
      <c r="D32" s="109">
        <v>19.600000000000001</v>
      </c>
      <c r="E32" s="48" t="s">
        <v>116</v>
      </c>
      <c r="F32" s="22" t="s">
        <v>65</v>
      </c>
      <c r="G32" s="101">
        <v>0.24</v>
      </c>
      <c r="H32" s="102">
        <v>90</v>
      </c>
      <c r="I32" s="102">
        <v>1.1000000000000001</v>
      </c>
      <c r="J32" s="114">
        <v>57.96</v>
      </c>
      <c r="K32" s="114">
        <v>36</v>
      </c>
      <c r="L32" s="113">
        <f t="shared" si="0"/>
        <v>42.769649999999999</v>
      </c>
      <c r="M32" s="113">
        <f t="shared" si="2"/>
        <v>13.70199012122675</v>
      </c>
      <c r="N32" s="113">
        <f t="shared" si="1"/>
        <v>40.567815740254538</v>
      </c>
    </row>
    <row r="33" spans="1:14">
      <c r="A33" s="46" t="s">
        <v>66</v>
      </c>
      <c r="B33" s="47"/>
      <c r="C33" s="38" t="s">
        <v>62</v>
      </c>
      <c r="D33" s="109">
        <v>37</v>
      </c>
      <c r="E33" s="48" t="s">
        <v>116</v>
      </c>
      <c r="F33" s="22" t="s">
        <v>67</v>
      </c>
      <c r="G33" s="101">
        <v>0.16</v>
      </c>
      <c r="H33" s="102">
        <v>33.700000000000003</v>
      </c>
      <c r="I33" s="102">
        <v>0.5</v>
      </c>
      <c r="J33" s="114">
        <v>24.9</v>
      </c>
      <c r="K33" s="114">
        <v>24</v>
      </c>
      <c r="L33" s="113">
        <f t="shared" si="0"/>
        <v>8.0730468749999975</v>
      </c>
      <c r="M33" s="113">
        <f>(J33^2*$H$9+(648)^2*(H16/1000))*(235+$H$26)/(235+$H$8)/1000</f>
        <v>5.7242671479249001</v>
      </c>
      <c r="N33" s="113">
        <f t="shared" si="1"/>
        <v>8.8909737465988758</v>
      </c>
    </row>
    <row r="34" spans="1:14">
      <c r="A34" s="46" t="s">
        <v>68</v>
      </c>
      <c r="B34" s="47"/>
      <c r="C34" s="38" t="s">
        <v>62</v>
      </c>
      <c r="D34" s="109">
        <v>31</v>
      </c>
      <c r="E34" s="48" t="s">
        <v>116</v>
      </c>
      <c r="F34" s="22" t="s">
        <v>69</v>
      </c>
      <c r="G34" s="101">
        <v>0.16</v>
      </c>
      <c r="H34" s="102">
        <v>33.4</v>
      </c>
      <c r="I34" s="102">
        <v>0.5</v>
      </c>
      <c r="J34" s="114">
        <v>24.9</v>
      </c>
      <c r="K34" s="114">
        <v>24</v>
      </c>
      <c r="L34" s="113">
        <f t="shared" si="0"/>
        <v>8.0730468749999975</v>
      </c>
      <c r="M34" s="113">
        <f>(J34^2*$H$9+(648)^2*(H17/1000))*(235+$H$26)/(235+$H$8)/1000</f>
        <v>5.7390799668972319</v>
      </c>
      <c r="N34" s="113">
        <f t="shared" si="1"/>
        <v>8.8967967491234194</v>
      </c>
    </row>
    <row r="35" spans="1:14">
      <c r="A35" s="46" t="s">
        <v>70</v>
      </c>
      <c r="B35" s="47"/>
      <c r="C35" s="38" t="s">
        <v>46</v>
      </c>
      <c r="D35" s="109">
        <v>22.7</v>
      </c>
      <c r="E35" s="48" t="s">
        <v>116</v>
      </c>
      <c r="F35" s="22" t="s">
        <v>71</v>
      </c>
      <c r="G35" s="101">
        <v>0.33</v>
      </c>
      <c r="H35" s="102">
        <v>49.2</v>
      </c>
      <c r="I35" s="102">
        <v>1.4</v>
      </c>
      <c r="J35" s="114">
        <v>49.8</v>
      </c>
      <c r="K35" s="114">
        <v>49.5</v>
      </c>
      <c r="L35" s="113">
        <f t="shared" si="0"/>
        <v>21.255316804407713</v>
      </c>
      <c r="M35" s="113">
        <f>(J35^2*$H$9+(648)^2*((H16+H17)/1000))*(235+$H$26)/(235+$H$8)/1000</f>
        <v>12.084133965296443</v>
      </c>
      <c r="N35" s="113">
        <f t="shared" si="1"/>
        <v>22.234553297636921</v>
      </c>
    </row>
    <row r="36" spans="1:14">
      <c r="A36" s="46" t="s">
        <v>72</v>
      </c>
      <c r="B36" s="47"/>
      <c r="C36" s="38" t="s">
        <v>46</v>
      </c>
      <c r="D36" s="109">
        <v>32</v>
      </c>
      <c r="E36" s="48" t="s">
        <v>116</v>
      </c>
      <c r="F36" s="22" t="s">
        <v>73</v>
      </c>
      <c r="G36" s="101">
        <v>1</v>
      </c>
      <c r="H36" s="102">
        <v>108.7</v>
      </c>
      <c r="I36" s="102">
        <v>5.3</v>
      </c>
      <c r="J36" s="114">
        <v>231.84</v>
      </c>
      <c r="K36" s="114">
        <v>150</v>
      </c>
      <c r="L36" s="113">
        <f>I36*15000*(J36/K36)^2/1000</f>
        <v>189.91590912000004</v>
      </c>
      <c r="M36" s="113">
        <f>(J36^2*$H$9+(1449/1.269)^2*(H10+H11+H12+H13)/1000)*(235+$H$26)/(235+$H$8)/1000</f>
        <v>76.612316376161758</v>
      </c>
      <c r="N36" s="113">
        <f>M36*310/(235+$H$26)+(L36-M36)*(235+$H$26)/310</f>
        <v>186.3378838952211</v>
      </c>
    </row>
    <row r="37" spans="1:14">
      <c r="A37" s="50" t="s">
        <v>74</v>
      </c>
      <c r="B37" s="11"/>
      <c r="C37" s="11"/>
      <c r="D37" s="111"/>
      <c r="E37" s="11"/>
      <c r="F37" s="51"/>
      <c r="G37" s="38" t="s">
        <v>75</v>
      </c>
      <c r="H37" s="38" t="s">
        <v>76</v>
      </c>
      <c r="I37" s="38" t="s">
        <v>77</v>
      </c>
      <c r="J37" s="114"/>
      <c r="K37" s="114"/>
      <c r="L37" s="114"/>
      <c r="M37" s="114"/>
      <c r="N37" s="115"/>
    </row>
    <row r="38" spans="1:14">
      <c r="A38" s="52" t="s">
        <v>78</v>
      </c>
      <c r="B38" s="42" t="s">
        <v>6</v>
      </c>
      <c r="C38" s="42" t="s">
        <v>79</v>
      </c>
      <c r="D38" s="42" t="s">
        <v>3</v>
      </c>
      <c r="E38" s="53" t="s">
        <v>51</v>
      </c>
      <c r="F38" s="22" t="s">
        <v>80</v>
      </c>
      <c r="G38" s="101">
        <v>0.17</v>
      </c>
      <c r="H38" s="102">
        <v>98.7</v>
      </c>
      <c r="I38" s="102">
        <v>1.4</v>
      </c>
      <c r="J38" s="114">
        <v>13.36</v>
      </c>
      <c r="K38" s="114">
        <f>G38*75</f>
        <v>12.750000000000002</v>
      </c>
      <c r="L38" s="113">
        <f>I38*25*75*(J38/K38)^2/1000</f>
        <v>2.8821850057670115</v>
      </c>
      <c r="M38" s="113">
        <f>(J38^2*$H$9+(334)^2*(H15/1000))*(235+$H$26)/(235+$H$8)/1000</f>
        <v>2.1353884611130436</v>
      </c>
      <c r="N38" s="113">
        <f t="shared" ref="N38" si="3">M38*310/(235+$H$26)+(L38-M38)*(235+$H$26)/310</f>
        <v>3.2102628264274227</v>
      </c>
    </row>
    <row r="39" spans="1:14">
      <c r="A39" s="36"/>
      <c r="B39" s="49" t="s">
        <v>81</v>
      </c>
      <c r="C39" s="49" t="s">
        <v>82</v>
      </c>
      <c r="D39" s="49" t="s">
        <v>83</v>
      </c>
      <c r="E39" s="54" t="s">
        <v>84</v>
      </c>
      <c r="F39" s="22" t="s">
        <v>85</v>
      </c>
      <c r="G39" s="101">
        <v>0.22</v>
      </c>
      <c r="H39" s="102">
        <v>43.4</v>
      </c>
      <c r="I39" s="102">
        <v>1.3</v>
      </c>
      <c r="J39" s="114">
        <v>16</v>
      </c>
      <c r="K39" s="114">
        <f>G39*75</f>
        <v>16.5</v>
      </c>
      <c r="L39" s="113">
        <f>I39*25*75*(J39/K39)^2/1000</f>
        <v>2.2920110192837471</v>
      </c>
      <c r="M39" s="113">
        <f>(J39^2*$H$9+(347)^2*(H14/1000))*(235+$H$26)/(235+$H$8)/1000</f>
        <v>1.8183529346442688</v>
      </c>
      <c r="N39" s="113">
        <f t="shared" ref="N39" si="4">M39*310/(235+$H$26)+(L39-M39)*(235+$H$26)/310</f>
        <v>2.6001686777102635</v>
      </c>
    </row>
    <row r="40" spans="1:14">
      <c r="A40" s="55">
        <v>0.8</v>
      </c>
      <c r="B40" s="101">
        <v>9.5000000000000001E-2</v>
      </c>
      <c r="C40" s="56">
        <v>80</v>
      </c>
      <c r="D40" s="102">
        <v>80.5</v>
      </c>
      <c r="E40" s="102">
        <v>1.2</v>
      </c>
      <c r="F40" s="17" t="s">
        <v>86</v>
      </c>
      <c r="G40" s="57"/>
      <c r="H40" s="57"/>
      <c r="I40" s="58"/>
      <c r="J40" s="114"/>
      <c r="K40" s="114"/>
      <c r="L40" s="114"/>
      <c r="M40" s="114"/>
      <c r="N40" s="113">
        <f>N36+N38+N39+N34+N33+N42</f>
        <v>212.7193362941793</v>
      </c>
    </row>
    <row r="41" spans="1:14">
      <c r="A41" s="55">
        <v>0.9</v>
      </c>
      <c r="B41" s="101">
        <v>0.17699999999999999</v>
      </c>
      <c r="C41" s="56">
        <v>90</v>
      </c>
      <c r="D41" s="102">
        <v>90.7</v>
      </c>
      <c r="E41" s="102">
        <v>1.9</v>
      </c>
      <c r="F41" s="38" t="s">
        <v>87</v>
      </c>
      <c r="G41" s="38" t="s">
        <v>50</v>
      </c>
      <c r="H41" s="38" t="s">
        <v>3</v>
      </c>
      <c r="I41" s="38" t="s">
        <v>51</v>
      </c>
      <c r="J41" s="114"/>
      <c r="K41" s="114"/>
      <c r="L41" s="115"/>
      <c r="M41" s="114"/>
      <c r="N41" s="114"/>
    </row>
    <row r="42" spans="1:14">
      <c r="A42" s="55">
        <v>1</v>
      </c>
      <c r="B42" s="101">
        <v>0.28599999999999998</v>
      </c>
      <c r="C42" s="56">
        <v>100</v>
      </c>
      <c r="D42" s="102">
        <v>100.6</v>
      </c>
      <c r="E42" s="102">
        <v>2.8</v>
      </c>
      <c r="F42" s="41"/>
      <c r="G42" s="38" t="s">
        <v>88</v>
      </c>
      <c r="H42" s="38" t="s">
        <v>89</v>
      </c>
      <c r="I42" s="38" t="s">
        <v>88</v>
      </c>
      <c r="J42" s="114"/>
      <c r="K42" s="114"/>
      <c r="L42" s="114"/>
      <c r="M42" s="114"/>
      <c r="N42" s="113">
        <f>E42/((D42/C42)^2*0.5+0.5)</f>
        <v>2.7832503990982267</v>
      </c>
    </row>
    <row r="43" spans="1:14">
      <c r="A43" s="55">
        <v>1.1000000000000001</v>
      </c>
      <c r="B43" s="101">
        <v>0.51900000000000002</v>
      </c>
      <c r="C43" s="56">
        <v>110</v>
      </c>
      <c r="D43" s="102">
        <v>112.2</v>
      </c>
      <c r="E43" s="102">
        <v>4.2</v>
      </c>
      <c r="F43" s="38" t="s">
        <v>29</v>
      </c>
      <c r="G43" s="104">
        <v>0.6</v>
      </c>
      <c r="H43" s="102">
        <v>53.6</v>
      </c>
      <c r="I43" s="102">
        <v>0.7</v>
      </c>
    </row>
    <row r="44" spans="1:14">
      <c r="A44" s="17" t="s">
        <v>90</v>
      </c>
      <c r="B44" s="59"/>
      <c r="C44" s="60"/>
      <c r="D44" s="61"/>
      <c r="E44" s="62"/>
      <c r="F44" s="38" t="s">
        <v>32</v>
      </c>
      <c r="G44" s="104">
        <v>0.6</v>
      </c>
      <c r="H44" s="102">
        <v>53</v>
      </c>
      <c r="I44" s="102">
        <v>0.6</v>
      </c>
      <c r="L44" s="91"/>
    </row>
    <row r="45" spans="1:14">
      <c r="A45" s="63"/>
      <c r="B45" s="63"/>
      <c r="C45" s="63" t="s">
        <v>91</v>
      </c>
      <c r="D45" s="63" t="s">
        <v>92</v>
      </c>
      <c r="E45" s="63" t="s">
        <v>93</v>
      </c>
      <c r="F45" s="64" t="s">
        <v>94</v>
      </c>
      <c r="G45" s="65"/>
      <c r="H45" s="65"/>
      <c r="I45" s="120"/>
      <c r="K45" s="91"/>
    </row>
    <row r="46" spans="1:14">
      <c r="A46" s="49" t="s">
        <v>87</v>
      </c>
      <c r="B46" s="49" t="s">
        <v>95</v>
      </c>
      <c r="C46" s="49" t="s">
        <v>96</v>
      </c>
      <c r="D46" s="49" t="s">
        <v>97</v>
      </c>
      <c r="E46" s="49" t="s">
        <v>98</v>
      </c>
      <c r="F46" s="66" t="s">
        <v>99</v>
      </c>
      <c r="G46" s="67"/>
      <c r="H46" s="67"/>
      <c r="I46" s="68"/>
    </row>
    <row r="47" spans="1:14">
      <c r="A47" s="41" t="s">
        <v>100</v>
      </c>
      <c r="B47" s="69" t="s">
        <v>101</v>
      </c>
      <c r="C47" s="101">
        <v>0.6</v>
      </c>
      <c r="D47" s="102">
        <v>54.4</v>
      </c>
      <c r="E47" s="102">
        <v>0.9</v>
      </c>
      <c r="F47" s="66" t="s">
        <v>108</v>
      </c>
      <c r="G47" s="70"/>
      <c r="H47" s="70"/>
      <c r="I47" s="68"/>
    </row>
    <row r="48" spans="1:14">
      <c r="A48" s="41" t="s">
        <v>102</v>
      </c>
      <c r="B48" s="69" t="s">
        <v>103</v>
      </c>
      <c r="C48" s="101">
        <v>0.6</v>
      </c>
      <c r="D48" s="102">
        <v>53.6</v>
      </c>
      <c r="E48" s="102">
        <v>0.9</v>
      </c>
      <c r="F48" s="71"/>
      <c r="G48" s="72"/>
      <c r="H48" s="72"/>
      <c r="I48" s="73"/>
    </row>
    <row r="49" spans="1:9">
      <c r="A49" s="52" t="s">
        <v>104</v>
      </c>
      <c r="B49" s="74" t="s">
        <v>105</v>
      </c>
      <c r="C49" s="110">
        <v>0.6</v>
      </c>
      <c r="D49" s="105">
        <v>54.3</v>
      </c>
      <c r="E49" s="105">
        <v>0.9</v>
      </c>
      <c r="F49" s="75"/>
      <c r="G49" s="76"/>
      <c r="H49" s="76"/>
      <c r="I49" s="77"/>
    </row>
    <row r="50" spans="1:9">
      <c r="A50" s="78" t="s">
        <v>106</v>
      </c>
      <c r="B50" s="79"/>
      <c r="C50" s="6" t="s">
        <v>109</v>
      </c>
      <c r="D50" s="80"/>
      <c r="E50" s="4" t="s">
        <v>110</v>
      </c>
      <c r="F50" s="95"/>
      <c r="G50" s="8"/>
      <c r="H50" s="9" t="s">
        <v>107</v>
      </c>
      <c r="I50" s="81"/>
    </row>
    <row r="51" spans="1:9">
      <c r="A51" s="37"/>
      <c r="B51" s="81"/>
      <c r="C51" s="11"/>
      <c r="D51" s="82"/>
      <c r="E51" s="9"/>
      <c r="F51" s="96"/>
      <c r="G51" s="13"/>
      <c r="H51" s="92"/>
      <c r="I51" s="93"/>
    </row>
    <row r="52" spans="1:9">
      <c r="A52" s="37"/>
      <c r="B52" s="26"/>
      <c r="C52" s="51" t="s">
        <v>111</v>
      </c>
      <c r="D52" s="12"/>
      <c r="E52" s="92"/>
      <c r="F52" s="96"/>
      <c r="G52" s="13"/>
      <c r="H52" s="92"/>
      <c r="I52" s="93"/>
    </row>
    <row r="53" spans="1:9">
      <c r="A53" s="126">
        <v>43483</v>
      </c>
      <c r="B53" s="83"/>
      <c r="C53" s="127" t="s">
        <v>472</v>
      </c>
      <c r="D53" s="84"/>
      <c r="E53" s="128" t="s">
        <v>476</v>
      </c>
      <c r="F53" s="97"/>
      <c r="G53" s="16"/>
      <c r="H53" s="129" t="s">
        <v>474</v>
      </c>
      <c r="I53" s="16"/>
    </row>
    <row r="56" spans="1:9">
      <c r="F56" s="116"/>
      <c r="G56" s="117"/>
      <c r="H56" s="118"/>
      <c r="I56" s="119"/>
    </row>
    <row r="57" spans="1:9">
      <c r="F57" s="116"/>
      <c r="G57" s="117"/>
      <c r="H57" s="118"/>
      <c r="I57" s="119"/>
    </row>
    <row r="58" spans="1:9">
      <c r="F58" s="116"/>
      <c r="G58" s="117"/>
      <c r="H58" s="118"/>
      <c r="I58" s="119"/>
    </row>
    <row r="59" spans="1:9">
      <c r="F59" s="116"/>
      <c r="G59" s="117"/>
      <c r="H59" s="118"/>
      <c r="I59" s="119"/>
    </row>
  </sheetData>
  <sheetProtection formatCells="0"/>
  <mergeCells count="3">
    <mergeCell ref="B3:H3"/>
    <mergeCell ref="B2:H2"/>
    <mergeCell ref="B1:H1"/>
  </mergeCells>
  <conditionalFormatting sqref="E42">
    <cfRule type="expression" dxfId="23" priority="7">
      <formula>$N$42&gt;4.025</formula>
    </cfRule>
  </conditionalFormatting>
  <conditionalFormatting sqref="I36">
    <cfRule type="expression" dxfId="22" priority="6">
      <formula>$N$40&gt;214.5</formula>
    </cfRule>
  </conditionalFormatting>
  <conditionalFormatting sqref="H33:H34">
    <cfRule type="cellIs" dxfId="21" priority="5" operator="lessThan">
      <formula>33.24</formula>
    </cfRule>
  </conditionalFormatting>
  <conditionalFormatting sqref="N40">
    <cfRule type="cellIs" dxfId="20" priority="3" operator="greaterThan">
      <formula>214.5</formula>
    </cfRule>
    <cfRule type="cellIs" dxfId="19" priority="4" operator="lessThan">
      <formula>214.5</formula>
    </cfRule>
  </conditionalFormatting>
  <conditionalFormatting sqref="N42">
    <cfRule type="cellIs" dxfId="18" priority="1" operator="lessThan">
      <formula>4.025</formula>
    </cfRule>
    <cfRule type="cellIs" dxfId="17" priority="2" operator="greaterThan">
      <formula>4.025</formula>
    </cfRule>
  </conditionalFormatting>
  <printOptions horizontalCentered="1" verticalCentered="1"/>
  <pageMargins left="0.75" right="0.5" top="0.75" bottom="0.75" header="0.3" footer="0.3"/>
  <pageSetup paperSize="9" scale="92" orientation="portrait" blackAndWhite="1" r:id="rId1"/>
  <drawing r:id="rId2"/>
  <legacyDrawing r:id="rId3"/>
  <controls>
    <mc:AlternateContent xmlns:mc="http://schemas.openxmlformats.org/markup-compatibility/2006">
      <mc:Choice Requires="x14">
        <control shapeId="1026" r:id="rId4" name="btn_go">
          <controlPr defaultSize="0" autoLine="0" r:id="rId5">
            <anchor moveWithCells="1">
              <from>
                <xdr:col>9</xdr:col>
                <xdr:colOff>152400</xdr:colOff>
                <xdr:row>0</xdr:row>
                <xdr:rowOff>95250</xdr:rowOff>
              </from>
              <to>
                <xdr:col>10</xdr:col>
                <xdr:colOff>457200</xdr:colOff>
                <xdr:row>1</xdr:row>
                <xdr:rowOff>228600</xdr:rowOff>
              </to>
            </anchor>
          </controlPr>
        </control>
      </mc:Choice>
      <mc:Fallback>
        <control shapeId="1026" r:id="rId4" name="btn_g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3"/>
  <sheetViews>
    <sheetView zoomScaleNormal="100" workbookViewId="0">
      <selection activeCell="B6" sqref="B6"/>
    </sheetView>
  </sheetViews>
  <sheetFormatPr defaultRowHeight="12.75"/>
  <cols>
    <col min="1" max="1" width="15.140625" style="136" customWidth="1"/>
    <col min="2" max="2" width="15.85546875" style="134" customWidth="1"/>
    <col min="3" max="3" width="12.140625" style="134" customWidth="1"/>
    <col min="4" max="4" width="11.7109375" style="134" customWidth="1"/>
    <col min="5" max="5" width="11.5703125" style="134" customWidth="1"/>
    <col min="6" max="16384" width="9.140625" style="134"/>
  </cols>
  <sheetData>
    <row r="1" spans="1:7">
      <c r="A1" s="132" t="s">
        <v>118</v>
      </c>
      <c r="B1" s="133" t="str">
        <f>TESTING!C4</f>
        <v>72163A18700</v>
      </c>
      <c r="C1" s="132" t="s">
        <v>470</v>
      </c>
      <c r="D1" s="132" t="s">
        <v>119</v>
      </c>
      <c r="F1" s="137" t="s">
        <v>471</v>
      </c>
      <c r="G1" s="138" t="str">
        <f>"BHEL-77-"&amp;TEXT(C6,"MM")&amp;"-"&amp;RIGHT(YEAR(C6),2)&amp;"-"</f>
        <v>BHEL-77-01-19-</v>
      </c>
    </row>
    <row r="2" spans="1:7">
      <c r="A2" s="132" t="s">
        <v>120</v>
      </c>
      <c r="B2" s="135" t="s">
        <v>2</v>
      </c>
      <c r="C2" s="295">
        <f>TESTING!H5</f>
        <v>2046943</v>
      </c>
      <c r="D2" s="296">
        <f>TESTING!G5</f>
        <v>523</v>
      </c>
    </row>
    <row r="3" spans="1:7">
      <c r="B3" s="135" t="s">
        <v>5</v>
      </c>
      <c r="C3" s="295">
        <f>TESTING!H6</f>
        <v>2046987</v>
      </c>
      <c r="D3" s="296">
        <f>TESTING!G6</f>
        <v>496</v>
      </c>
    </row>
    <row r="4" spans="1:7">
      <c r="B4" s="135" t="s">
        <v>8</v>
      </c>
      <c r="C4" s="295">
        <f>TESTING!H7</f>
        <v>2047031</v>
      </c>
      <c r="D4" s="296">
        <f>TESTING!G7</f>
        <v>496</v>
      </c>
    </row>
    <row r="5" spans="1:7">
      <c r="A5" s="132" t="s">
        <v>475</v>
      </c>
      <c r="B5" s="134" t="str">
        <f>customer</f>
        <v>DMW</v>
      </c>
    </row>
    <row r="6" spans="1:7">
      <c r="A6" s="132" t="s">
        <v>121</v>
      </c>
      <c r="B6" s="136"/>
      <c r="C6" s="139">
        <f>TESTING!A53</f>
        <v>43483</v>
      </c>
    </row>
    <row r="7" spans="1:7">
      <c r="A7" s="132" t="s">
        <v>171</v>
      </c>
      <c r="B7" s="136"/>
      <c r="C7" s="297" t="str">
        <f>IF(TESTING!E53&gt;0,TESTING!E53,"X")</f>
        <v>Sh. S K Saxena</v>
      </c>
    </row>
    <row r="8" spans="1:7">
      <c r="B8" s="136"/>
      <c r="C8" s="140"/>
    </row>
    <row r="9" spans="1:7">
      <c r="A9" s="132" t="s">
        <v>122</v>
      </c>
      <c r="B9" s="136"/>
    </row>
    <row r="10" spans="1:7">
      <c r="B10" s="135" t="s">
        <v>123</v>
      </c>
      <c r="C10" s="141">
        <f>TESTING!D9</f>
        <v>19.72</v>
      </c>
    </row>
    <row r="11" spans="1:7">
      <c r="B11" s="135" t="s">
        <v>124</v>
      </c>
      <c r="C11" s="141">
        <f>TESTING!D10</f>
        <v>19.71</v>
      </c>
    </row>
    <row r="12" spans="1:7">
      <c r="B12" s="135" t="s">
        <v>125</v>
      </c>
      <c r="C12" s="141">
        <f>TESTING!D11</f>
        <v>19.72</v>
      </c>
    </row>
    <row r="13" spans="1:7">
      <c r="B13" s="135" t="s">
        <v>126</v>
      </c>
      <c r="C13" s="141">
        <f>TESTING!D12</f>
        <v>19.71</v>
      </c>
    </row>
    <row r="14" spans="1:7">
      <c r="B14" s="135" t="s">
        <v>127</v>
      </c>
      <c r="C14" s="141">
        <f>TESTING!D13</f>
        <v>21.67</v>
      </c>
    </row>
    <row r="15" spans="1:7">
      <c r="B15" s="135" t="s">
        <v>128</v>
      </c>
      <c r="C15" s="141">
        <f>TESTING!D14</f>
        <v>25</v>
      </c>
    </row>
    <row r="16" spans="1:7">
      <c r="B16" s="135" t="s">
        <v>129</v>
      </c>
      <c r="C16" s="141">
        <f>TESTING!D15</f>
        <v>26</v>
      </c>
    </row>
    <row r="17" spans="1:6">
      <c r="B17" s="135" t="s">
        <v>130</v>
      </c>
      <c r="C17" s="141">
        <f>TESTING!D16</f>
        <v>26</v>
      </c>
    </row>
    <row r="18" spans="1:6">
      <c r="B18" s="136"/>
    </row>
    <row r="19" spans="1:6">
      <c r="A19" s="142" t="s">
        <v>131</v>
      </c>
      <c r="B19" s="143"/>
      <c r="C19" s="144"/>
      <c r="D19" s="136" t="s">
        <v>132</v>
      </c>
      <c r="E19" s="291">
        <f>TESTING!H8</f>
        <v>18</v>
      </c>
      <c r="F19" s="134" t="s">
        <v>133</v>
      </c>
    </row>
    <row r="20" spans="1:6">
      <c r="A20" s="132" t="s">
        <v>2</v>
      </c>
      <c r="B20" s="135" t="s">
        <v>134</v>
      </c>
      <c r="C20" s="293">
        <f>TESTING!H9*1000</f>
        <v>496.7</v>
      </c>
    </row>
    <row r="21" spans="1:6">
      <c r="B21" s="135" t="s">
        <v>135</v>
      </c>
      <c r="C21" s="294">
        <f>TESTING!H10</f>
        <v>9.9670000000000005</v>
      </c>
    </row>
    <row r="22" spans="1:6">
      <c r="B22" s="135" t="s">
        <v>16</v>
      </c>
      <c r="C22" s="294">
        <f>TESTING!H11</f>
        <v>9.4369999999999994</v>
      </c>
    </row>
    <row r="23" spans="1:6">
      <c r="B23" s="135" t="s">
        <v>18</v>
      </c>
      <c r="C23" s="294">
        <f>TESTING!H12</f>
        <v>9.2720000000000002</v>
      </c>
    </row>
    <row r="24" spans="1:6">
      <c r="B24" s="135" t="s">
        <v>19</v>
      </c>
      <c r="C24" s="294">
        <f>TESTING!H13</f>
        <v>9.1470000000000002</v>
      </c>
    </row>
    <row r="25" spans="1:6">
      <c r="B25" s="135" t="s">
        <v>20</v>
      </c>
      <c r="C25" s="294">
        <f>TESTING!H14</f>
        <v>13.927</v>
      </c>
    </row>
    <row r="26" spans="1:6">
      <c r="B26" s="135" t="s">
        <v>21</v>
      </c>
      <c r="C26" s="294">
        <f>TESTING!H15</f>
        <v>18.196999999999999</v>
      </c>
    </row>
    <row r="27" spans="1:6">
      <c r="B27" s="135" t="s">
        <v>22</v>
      </c>
      <c r="C27" s="294">
        <f>TESTING!H16</f>
        <v>12.792</v>
      </c>
    </row>
    <row r="28" spans="1:6">
      <c r="B28" s="135" t="s">
        <v>23</v>
      </c>
      <c r="C28" s="294">
        <f>TESTING!H17</f>
        <v>12.827</v>
      </c>
    </row>
    <row r="29" spans="1:6">
      <c r="B29" s="136"/>
    </row>
    <row r="30" spans="1:6">
      <c r="A30" s="132" t="s">
        <v>5</v>
      </c>
      <c r="B30" s="135" t="s">
        <v>29</v>
      </c>
      <c r="C30" s="294">
        <f>TESTING!H18</f>
        <v>2.6819999999999999</v>
      </c>
    </row>
    <row r="31" spans="1:6">
      <c r="B31" s="135" t="s">
        <v>32</v>
      </c>
      <c r="C31" s="294">
        <f>TESTING!H19</f>
        <v>2.5270000000000001</v>
      </c>
    </row>
    <row r="32" spans="1:6">
      <c r="B32" s="137"/>
    </row>
    <row r="33" spans="1:4">
      <c r="A33" s="142" t="s">
        <v>8</v>
      </c>
      <c r="B33" s="135" t="s">
        <v>34</v>
      </c>
      <c r="C33" s="292">
        <f>TESTING!H20</f>
        <v>46.57</v>
      </c>
    </row>
    <row r="34" spans="1:4">
      <c r="B34" s="135" t="s">
        <v>36</v>
      </c>
      <c r="C34" s="292">
        <f>TESTING!H21</f>
        <v>46.36</v>
      </c>
    </row>
    <row r="35" spans="1:4">
      <c r="B35" s="135" t="s">
        <v>38</v>
      </c>
      <c r="C35" s="292">
        <f>TESTING!H22</f>
        <v>46.17</v>
      </c>
    </row>
    <row r="36" spans="1:4">
      <c r="B36" s="135" t="s">
        <v>40</v>
      </c>
      <c r="C36" s="292">
        <f>TESTING!H23</f>
        <v>46.27</v>
      </c>
    </row>
    <row r="37" spans="1:4">
      <c r="B37" s="135" t="s">
        <v>42</v>
      </c>
      <c r="C37" s="292">
        <f>TESTING!H24</f>
        <v>45.86</v>
      </c>
    </row>
    <row r="38" spans="1:4">
      <c r="B38" s="135" t="s">
        <v>44</v>
      </c>
      <c r="C38" s="292">
        <f>TESTING!H25</f>
        <v>45.72</v>
      </c>
    </row>
    <row r="40" spans="1:4">
      <c r="A40" s="142" t="s">
        <v>136</v>
      </c>
      <c r="B40" s="146"/>
      <c r="C40" s="146"/>
      <c r="D40" s="144"/>
    </row>
    <row r="41" spans="1:4">
      <c r="A41" s="147" t="s">
        <v>137</v>
      </c>
      <c r="B41" s="148"/>
      <c r="C41" s="149">
        <v>5</v>
      </c>
      <c r="D41" s="134" t="s">
        <v>138</v>
      </c>
    </row>
    <row r="42" spans="1:4">
      <c r="A42" s="150" t="s">
        <v>139</v>
      </c>
      <c r="B42" s="151"/>
      <c r="C42" s="145">
        <v>8.3000000000000007</v>
      </c>
      <c r="D42" s="134" t="s">
        <v>138</v>
      </c>
    </row>
    <row r="43" spans="1:4">
      <c r="A43" s="150" t="s">
        <v>140</v>
      </c>
      <c r="B43" s="151"/>
      <c r="C43" s="145">
        <v>5</v>
      </c>
      <c r="D43" s="134" t="s">
        <v>138</v>
      </c>
    </row>
    <row r="44" spans="1:4">
      <c r="A44" s="150" t="s">
        <v>141</v>
      </c>
      <c r="B44" s="151"/>
      <c r="C44" s="145">
        <v>5</v>
      </c>
      <c r="D44" s="134" t="s">
        <v>138</v>
      </c>
    </row>
    <row r="45" spans="1:4">
      <c r="A45" s="150" t="s">
        <v>5</v>
      </c>
      <c r="B45" s="151"/>
      <c r="C45" s="145">
        <v>10</v>
      </c>
      <c r="D45" s="134" t="s">
        <v>138</v>
      </c>
    </row>
    <row r="46" spans="1:4">
      <c r="A46" s="150" t="s">
        <v>8</v>
      </c>
      <c r="B46" s="151"/>
      <c r="C46" s="145">
        <v>4.2</v>
      </c>
      <c r="D46" s="134" t="s">
        <v>138</v>
      </c>
    </row>
    <row r="47" spans="1:4">
      <c r="A47" s="150" t="s">
        <v>142</v>
      </c>
      <c r="B47" s="151"/>
      <c r="C47" s="145">
        <v>5</v>
      </c>
      <c r="D47" s="134" t="s">
        <v>138</v>
      </c>
    </row>
    <row r="49" spans="1:8">
      <c r="A49" s="142" t="s">
        <v>143</v>
      </c>
      <c r="B49" s="146"/>
      <c r="C49" s="144"/>
    </row>
    <row r="50" spans="1:8">
      <c r="A50" s="150" t="s">
        <v>144</v>
      </c>
      <c r="B50" s="150" t="s">
        <v>145</v>
      </c>
      <c r="C50" s="150" t="s">
        <v>146</v>
      </c>
      <c r="D50" s="150" t="s">
        <v>147</v>
      </c>
      <c r="E50" s="150" t="s">
        <v>93</v>
      </c>
    </row>
    <row r="51" spans="1:8" ht="13.5" thickBot="1">
      <c r="A51" s="152"/>
      <c r="B51" s="153">
        <v>100</v>
      </c>
      <c r="C51" s="153">
        <v>10</v>
      </c>
      <c r="D51" s="153">
        <f>ROUND(10/1.11,2)</f>
        <v>9.01</v>
      </c>
      <c r="E51" s="153">
        <v>1000</v>
      </c>
    </row>
    <row r="52" spans="1:8">
      <c r="A52" s="147"/>
      <c r="B52" s="148"/>
      <c r="C52" s="148"/>
      <c r="D52" s="148"/>
      <c r="E52" s="148"/>
    </row>
    <row r="53" spans="1:8">
      <c r="A53" s="154">
        <v>0.8</v>
      </c>
      <c r="B53" s="155">
        <f>TESTING!B40</f>
        <v>9.5000000000000001E-2</v>
      </c>
      <c r="C53" s="156">
        <f>TESTING!D40</f>
        <v>80.5</v>
      </c>
      <c r="D53" s="145">
        <v>80</v>
      </c>
      <c r="E53" s="156">
        <f>TESTING!E40</f>
        <v>1.2</v>
      </c>
    </row>
    <row r="54" spans="1:8">
      <c r="A54" s="154">
        <v>0.9</v>
      </c>
      <c r="B54" s="155">
        <f>TESTING!B41</f>
        <v>0.17699999999999999</v>
      </c>
      <c r="C54" s="156">
        <f>TESTING!D41</f>
        <v>90.7</v>
      </c>
      <c r="D54" s="145">
        <v>90</v>
      </c>
      <c r="E54" s="156">
        <f>TESTING!E41</f>
        <v>1.9</v>
      </c>
    </row>
    <row r="55" spans="1:8">
      <c r="A55" s="154">
        <v>1</v>
      </c>
      <c r="B55" s="155">
        <f>TESTING!B42</f>
        <v>0.28599999999999998</v>
      </c>
      <c r="C55" s="156">
        <f>TESTING!D42</f>
        <v>100.6</v>
      </c>
      <c r="D55" s="145">
        <v>100</v>
      </c>
      <c r="E55" s="156">
        <f>TESTING!E42</f>
        <v>2.8</v>
      </c>
    </row>
    <row r="56" spans="1:8">
      <c r="A56" s="154">
        <v>1.1000000000000001</v>
      </c>
      <c r="B56" s="155">
        <f>TESTING!B43</f>
        <v>0.51900000000000002</v>
      </c>
      <c r="C56" s="156">
        <f>TESTING!D43</f>
        <v>112.2</v>
      </c>
      <c r="D56" s="145">
        <v>110</v>
      </c>
      <c r="E56" s="156">
        <f>TESTING!E43</f>
        <v>4.2</v>
      </c>
    </row>
    <row r="58" spans="1:8">
      <c r="A58" s="142" t="s">
        <v>148</v>
      </c>
      <c r="B58" s="146"/>
      <c r="C58" s="146"/>
      <c r="D58" s="144"/>
    </row>
    <row r="59" spans="1:8">
      <c r="A59" s="145">
        <v>60</v>
      </c>
      <c r="B59" s="151" t="s">
        <v>149</v>
      </c>
      <c r="C59" s="151" t="s">
        <v>150</v>
      </c>
      <c r="D59" s="145">
        <v>100</v>
      </c>
      <c r="E59" s="151" t="s">
        <v>151</v>
      </c>
      <c r="F59" s="151" t="s">
        <v>152</v>
      </c>
      <c r="G59" s="145">
        <v>60</v>
      </c>
      <c r="H59" s="151" t="s">
        <v>153</v>
      </c>
    </row>
    <row r="61" spans="1:8">
      <c r="A61" s="142" t="s">
        <v>154</v>
      </c>
      <c r="B61" s="144"/>
      <c r="D61" s="136" t="s">
        <v>132</v>
      </c>
      <c r="E61" s="291">
        <f>TESTING!H26</f>
        <v>20</v>
      </c>
      <c r="F61" s="136" t="s">
        <v>133</v>
      </c>
    </row>
    <row r="62" spans="1:8">
      <c r="A62" s="150" t="s">
        <v>155</v>
      </c>
      <c r="B62" s="150" t="s">
        <v>145</v>
      </c>
      <c r="C62" s="157" t="s">
        <v>92</v>
      </c>
      <c r="D62" s="157" t="s">
        <v>93</v>
      </c>
    </row>
    <row r="63" spans="1:8" ht="13.5" thickBot="1">
      <c r="A63" s="152" t="s">
        <v>156</v>
      </c>
      <c r="B63" s="158">
        <v>150</v>
      </c>
      <c r="C63" s="158">
        <v>100</v>
      </c>
      <c r="D63" s="158">
        <f>B63*C63</f>
        <v>15000</v>
      </c>
    </row>
    <row r="64" spans="1:8">
      <c r="A64" s="147" t="s">
        <v>157</v>
      </c>
      <c r="B64" s="155">
        <f>TESTING!G29</f>
        <v>0.24</v>
      </c>
      <c r="C64" s="156">
        <f>TESTING!H29</f>
        <v>89.9</v>
      </c>
      <c r="D64" s="156">
        <f>TESTING!I29</f>
        <v>1.1000000000000001</v>
      </c>
    </row>
    <row r="65" spans="1:4">
      <c r="A65" s="150" t="s">
        <v>158</v>
      </c>
      <c r="B65" s="155">
        <f>TESTING!G30</f>
        <v>0.24</v>
      </c>
      <c r="C65" s="156">
        <f>TESTING!H30</f>
        <v>90.3</v>
      </c>
      <c r="D65" s="156">
        <f>TESTING!I30</f>
        <v>1.1000000000000001</v>
      </c>
    </row>
    <row r="66" spans="1:4">
      <c r="A66" s="150" t="s">
        <v>159</v>
      </c>
      <c r="B66" s="155">
        <f>TESTING!G31</f>
        <v>0.24</v>
      </c>
      <c r="C66" s="156">
        <f>TESTING!H31</f>
        <v>90.2</v>
      </c>
      <c r="D66" s="156">
        <f>TESTING!I31</f>
        <v>1.1000000000000001</v>
      </c>
    </row>
    <row r="67" spans="1:4">
      <c r="A67" s="150" t="s">
        <v>160</v>
      </c>
      <c r="B67" s="155">
        <f>TESTING!G32</f>
        <v>0.24</v>
      </c>
      <c r="C67" s="156">
        <f>TESTING!H32</f>
        <v>90</v>
      </c>
      <c r="D67" s="156">
        <f>TESTING!I32</f>
        <v>1.1000000000000001</v>
      </c>
    </row>
    <row r="68" spans="1:4" ht="13.5" thickBot="1">
      <c r="A68" s="152" t="s">
        <v>161</v>
      </c>
      <c r="B68" s="155">
        <f>TESTING!G36</f>
        <v>1</v>
      </c>
      <c r="C68" s="156">
        <f>TESTING!H36</f>
        <v>108.7</v>
      </c>
      <c r="D68" s="156">
        <f>TESTING!I36</f>
        <v>5.3</v>
      </c>
    </row>
    <row r="69" spans="1:4" ht="13.5" thickBot="1">
      <c r="A69" s="159" t="s">
        <v>162</v>
      </c>
      <c r="B69" s="155">
        <f>TESTING!G33</f>
        <v>0.16</v>
      </c>
      <c r="C69" s="156">
        <f>TESTING!H33</f>
        <v>33.700000000000003</v>
      </c>
      <c r="D69" s="156">
        <f>TESTING!I33</f>
        <v>0.5</v>
      </c>
    </row>
    <row r="70" spans="1:4" ht="13.5" thickBot="1">
      <c r="A70" s="159" t="s">
        <v>163</v>
      </c>
      <c r="B70" s="155">
        <f>TESTING!G34</f>
        <v>0.16</v>
      </c>
      <c r="C70" s="156">
        <f>TESTING!H34</f>
        <v>33.4</v>
      </c>
      <c r="D70" s="156">
        <f>TESTING!I34</f>
        <v>0.5</v>
      </c>
    </row>
    <row r="71" spans="1:4" ht="13.5" thickBot="1">
      <c r="A71" s="159" t="s">
        <v>164</v>
      </c>
      <c r="B71" s="155">
        <f>TESTING!G35</f>
        <v>0.33</v>
      </c>
      <c r="C71" s="156">
        <f>TESTING!H35</f>
        <v>49.2</v>
      </c>
      <c r="D71" s="156">
        <f>TESTING!I35</f>
        <v>1.4</v>
      </c>
    </row>
    <row r="72" spans="1:4" ht="13.5" thickBot="1">
      <c r="A72" s="159"/>
      <c r="B72" s="160">
        <v>75</v>
      </c>
      <c r="C72" s="160">
        <v>25</v>
      </c>
      <c r="D72" s="160">
        <f>B72*C72</f>
        <v>1875</v>
      </c>
    </row>
    <row r="73" spans="1:4">
      <c r="A73" s="147" t="s">
        <v>165</v>
      </c>
      <c r="B73" s="155">
        <f>TESTING!G38</f>
        <v>0.17</v>
      </c>
      <c r="C73" s="156">
        <f>TESTING!H38</f>
        <v>98.7</v>
      </c>
      <c r="D73" s="156">
        <f>TESTING!I38</f>
        <v>1.4</v>
      </c>
    </row>
    <row r="74" spans="1:4">
      <c r="A74" s="150" t="s">
        <v>166</v>
      </c>
      <c r="B74" s="155">
        <f>TESTING!G39</f>
        <v>0.22</v>
      </c>
      <c r="C74" s="156">
        <f>TESTING!H39</f>
        <v>43.4</v>
      </c>
      <c r="D74" s="156">
        <f>TESTING!I39</f>
        <v>1.3</v>
      </c>
    </row>
    <row r="76" spans="1:4">
      <c r="A76" s="142" t="s">
        <v>167</v>
      </c>
      <c r="B76" s="146"/>
      <c r="C76" s="144"/>
    </row>
    <row r="77" spans="1:4">
      <c r="A77" s="150" t="s">
        <v>168</v>
      </c>
      <c r="B77" s="150" t="s">
        <v>145</v>
      </c>
      <c r="C77" s="150" t="s">
        <v>92</v>
      </c>
      <c r="D77" s="150" t="s">
        <v>93</v>
      </c>
    </row>
    <row r="78" spans="1:4" ht="13.5" thickBot="1">
      <c r="A78" s="152"/>
      <c r="B78" s="158">
        <v>500</v>
      </c>
      <c r="C78" s="158">
        <v>1</v>
      </c>
      <c r="D78" s="158">
        <v>500</v>
      </c>
    </row>
    <row r="79" spans="1:4">
      <c r="A79" s="147" t="s">
        <v>29</v>
      </c>
      <c r="B79" s="161">
        <f>TESTING!G43</f>
        <v>0.6</v>
      </c>
      <c r="C79" s="156">
        <f>TESTING!H43</f>
        <v>53.6</v>
      </c>
      <c r="D79" s="156">
        <f>TESTING!I43</f>
        <v>0.7</v>
      </c>
    </row>
    <row r="80" spans="1:4">
      <c r="A80" s="150" t="s">
        <v>32</v>
      </c>
      <c r="B80" s="161">
        <f>TESTING!G44</f>
        <v>0.6</v>
      </c>
      <c r="C80" s="156">
        <f>TESTING!H44</f>
        <v>53</v>
      </c>
      <c r="D80" s="156">
        <f>TESTING!I44</f>
        <v>0.6</v>
      </c>
    </row>
    <row r="82" spans="1:5">
      <c r="A82" s="142" t="s">
        <v>169</v>
      </c>
      <c r="B82" s="146"/>
      <c r="C82" s="144"/>
    </row>
    <row r="83" spans="1:5">
      <c r="A83" s="150" t="s">
        <v>168</v>
      </c>
      <c r="B83" s="150" t="s">
        <v>170</v>
      </c>
      <c r="C83" s="150" t="s">
        <v>145</v>
      </c>
      <c r="D83" s="150" t="s">
        <v>92</v>
      </c>
      <c r="E83" s="150" t="s">
        <v>93</v>
      </c>
    </row>
    <row r="84" spans="1:5" ht="13.5" thickBot="1">
      <c r="A84" s="152"/>
      <c r="B84" s="152"/>
      <c r="C84" s="158">
        <v>200</v>
      </c>
      <c r="D84" s="158">
        <v>20</v>
      </c>
      <c r="E84" s="158">
        <v>4000</v>
      </c>
    </row>
    <row r="85" spans="1:5">
      <c r="A85" s="147" t="s">
        <v>100</v>
      </c>
      <c r="B85" s="147" t="s">
        <v>101</v>
      </c>
      <c r="C85" s="155">
        <f>TESTING!C47</f>
        <v>0.6</v>
      </c>
      <c r="D85" s="156">
        <f>TESTING!D47</f>
        <v>54.4</v>
      </c>
      <c r="E85" s="156">
        <f>TESTING!E47</f>
        <v>0.9</v>
      </c>
    </row>
    <row r="86" spans="1:5">
      <c r="A86" s="150" t="s">
        <v>102</v>
      </c>
      <c r="B86" s="150" t="s">
        <v>103</v>
      </c>
      <c r="C86" s="155">
        <f>TESTING!C48</f>
        <v>0.6</v>
      </c>
      <c r="D86" s="156">
        <f>TESTING!D48</f>
        <v>53.6</v>
      </c>
      <c r="E86" s="156">
        <f>TESTING!E48</f>
        <v>0.9</v>
      </c>
    </row>
    <row r="87" spans="1:5">
      <c r="A87" s="150" t="s">
        <v>104</v>
      </c>
      <c r="B87" s="150" t="s">
        <v>105</v>
      </c>
      <c r="C87" s="155">
        <f>TESTING!C49</f>
        <v>0.6</v>
      </c>
      <c r="D87" s="156">
        <f>TESTING!D49</f>
        <v>54.3</v>
      </c>
      <c r="E87" s="156">
        <f>TESTING!E49</f>
        <v>0.9</v>
      </c>
    </row>
    <row r="89" spans="1:5">
      <c r="A89" s="134"/>
    </row>
    <row r="90" spans="1:5">
      <c r="A90" s="137"/>
    </row>
    <row r="93" spans="1:5">
      <c r="A93" s="138"/>
    </row>
  </sheetData>
  <sheetProtection sheet="1" objects="1" scenarios="1"/>
  <conditionalFormatting sqref="D68">
    <cfRule type="expression" dxfId="16" priority="2">
      <formula>$N$41&gt;214.5</formula>
    </cfRule>
  </conditionalFormatting>
  <conditionalFormatting sqref="C69:C71">
    <cfRule type="cellIs" dxfId="15" priority="1" operator="lessThan">
      <formula>33.24</formula>
    </cfRule>
  </conditionalFormatting>
  <pageMargins left="0.55118110236220474" right="0.35433070866141736" top="0.98425196850393704" bottom="0.98425196850393704" header="0.51181102362204722" footer="0.51181102362204722"/>
  <pageSetup paperSize="9" scale="105" orientation="portrait" blackAndWhite="1" horizontalDpi="4294967295" verticalDpi="4294967295" r:id="rId1"/>
  <headerFooter alignWithMargins="0">
    <oddFooter>&amp;L&amp;F&amp;Rpage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2"/>
  <sheetViews>
    <sheetView zoomScale="90" zoomScaleNormal="90" zoomScaleSheetLayoutView="90" workbookViewId="0">
      <pane ySplit="4" topLeftCell="A5" activePane="bottomLeft" state="frozen"/>
      <selection activeCell="J71" sqref="J71"/>
      <selection pane="bottomLeft" activeCell="D16" sqref="D16"/>
    </sheetView>
  </sheetViews>
  <sheetFormatPr defaultRowHeight="12.75"/>
  <cols>
    <col min="1" max="1" width="11.85546875" style="134" customWidth="1"/>
    <col min="2" max="2" width="11.28515625" style="134" customWidth="1"/>
    <col min="3" max="3" width="16.28515625" style="134" customWidth="1"/>
    <col min="4" max="4" width="13" style="134" customWidth="1"/>
    <col min="5" max="5" width="14.140625" style="134" customWidth="1"/>
    <col min="6" max="6" width="17.140625" style="134" customWidth="1"/>
    <col min="7" max="7" width="11.28515625" style="134" bestFit="1" customWidth="1"/>
    <col min="8" max="8" width="13.5703125" style="134" bestFit="1" customWidth="1"/>
    <col min="9" max="16384" width="9.140625" style="134"/>
  </cols>
  <sheetData>
    <row r="1" spans="1:8" ht="24" customHeight="1">
      <c r="A1" s="325" t="s">
        <v>172</v>
      </c>
      <c r="B1" s="325"/>
      <c r="C1" s="325"/>
      <c r="D1" s="325"/>
      <c r="E1" s="325"/>
      <c r="F1" s="325"/>
      <c r="G1" s="325"/>
    </row>
    <row r="2" spans="1:8" ht="23.25" customHeight="1">
      <c r="A2" s="325" t="s">
        <v>173</v>
      </c>
      <c r="B2" s="325"/>
      <c r="C2" s="325"/>
      <c r="D2" s="325"/>
      <c r="E2" s="325"/>
      <c r="F2" s="325"/>
      <c r="G2" s="325"/>
    </row>
    <row r="3" spans="1:8" ht="21.75" customHeight="1">
      <c r="A3" s="325" t="s">
        <v>174</v>
      </c>
      <c r="B3" s="325"/>
      <c r="C3" s="325"/>
      <c r="D3" s="325"/>
      <c r="E3" s="325"/>
      <c r="F3" s="325"/>
      <c r="G3" s="325"/>
    </row>
    <row r="4" spans="1:8" ht="28.5" customHeight="1">
      <c r="A4" s="162" t="s">
        <v>175</v>
      </c>
      <c r="B4" s="163" t="str">
        <f>input!B1</f>
        <v>72163A18700</v>
      </c>
      <c r="C4" s="163"/>
      <c r="D4" s="162" t="s">
        <v>176</v>
      </c>
      <c r="E4" s="163">
        <f>input!C2</f>
        <v>2046943</v>
      </c>
      <c r="F4" s="162" t="s">
        <v>119</v>
      </c>
      <c r="G4" s="164">
        <f>input!D2</f>
        <v>523</v>
      </c>
      <c r="H4" s="165"/>
    </row>
    <row r="5" spans="1:8" s="171" customFormat="1" ht="33.950000000000003" customHeight="1">
      <c r="A5" s="166">
        <v>1</v>
      </c>
      <c r="B5" s="167" t="s">
        <v>175</v>
      </c>
      <c r="C5" s="168" t="str">
        <f>B4</f>
        <v>72163A18700</v>
      </c>
      <c r="D5" s="167"/>
      <c r="E5" s="169"/>
      <c r="F5" s="167" t="s">
        <v>177</v>
      </c>
      <c r="G5" s="169">
        <v>626816</v>
      </c>
      <c r="H5" s="170"/>
    </row>
    <row r="6" spans="1:8" s="171" customFormat="1" ht="33.950000000000003" customHeight="1">
      <c r="A6" s="166">
        <v>2</v>
      </c>
      <c r="B6" s="167" t="s">
        <v>178</v>
      </c>
      <c r="C6" s="170"/>
      <c r="D6" s="170" t="s">
        <v>179</v>
      </c>
      <c r="E6" s="170" t="s">
        <v>180</v>
      </c>
      <c r="F6" s="170"/>
      <c r="G6" s="170"/>
      <c r="H6" s="170"/>
    </row>
    <row r="7" spans="1:8" s="171" customFormat="1" ht="33.950000000000003" customHeight="1">
      <c r="A7" s="166">
        <v>3</v>
      </c>
      <c r="B7" s="167" t="s">
        <v>181</v>
      </c>
      <c r="C7" s="169">
        <v>1</v>
      </c>
      <c r="D7" s="167" t="s">
        <v>182</v>
      </c>
      <c r="E7" s="170" t="s">
        <v>183</v>
      </c>
      <c r="F7" s="167" t="s">
        <v>184</v>
      </c>
      <c r="G7" s="170" t="s">
        <v>185</v>
      </c>
      <c r="H7" s="170"/>
    </row>
    <row r="8" spans="1:8" s="171" customFormat="1" ht="33.950000000000003" customHeight="1">
      <c r="A8" s="166">
        <v>4</v>
      </c>
      <c r="B8" s="167" t="s">
        <v>186</v>
      </c>
      <c r="C8" s="170"/>
      <c r="D8" s="170" t="s">
        <v>187</v>
      </c>
      <c r="E8" s="170"/>
      <c r="F8" s="170"/>
      <c r="G8" s="170"/>
      <c r="H8" s="170"/>
    </row>
    <row r="9" spans="1:8" s="171" customFormat="1" ht="33.950000000000003" customHeight="1">
      <c r="A9" s="166">
        <v>5</v>
      </c>
      <c r="B9" s="172" t="s">
        <v>188</v>
      </c>
      <c r="C9" s="170"/>
      <c r="D9" s="172" t="s">
        <v>189</v>
      </c>
      <c r="E9" s="170"/>
      <c r="F9" s="172" t="s">
        <v>190</v>
      </c>
      <c r="G9" s="170"/>
      <c r="H9" s="170"/>
    </row>
    <row r="10" spans="1:8" s="171" customFormat="1" ht="33.950000000000003" customHeight="1">
      <c r="A10" s="166"/>
      <c r="B10" s="167" t="s">
        <v>25</v>
      </c>
      <c r="C10" s="170"/>
      <c r="D10" s="173">
        <f>7775/F10</f>
        <v>311</v>
      </c>
      <c r="E10" s="170"/>
      <c r="F10" s="170">
        <v>25</v>
      </c>
      <c r="G10" s="170"/>
      <c r="H10" s="170"/>
    </row>
    <row r="11" spans="1:8" s="171" customFormat="1" ht="33.950000000000003" customHeight="1">
      <c r="A11" s="166"/>
      <c r="B11" s="167" t="s">
        <v>191</v>
      </c>
      <c r="C11" s="174" t="s">
        <v>192</v>
      </c>
      <c r="D11" s="173">
        <f>1449/F11</f>
        <v>1141.8439716312057</v>
      </c>
      <c r="E11" s="174" t="s">
        <v>193</v>
      </c>
      <c r="F11" s="170">
        <v>1.2689999999999999</v>
      </c>
      <c r="G11" s="170"/>
      <c r="H11" s="170"/>
    </row>
    <row r="12" spans="1:8" s="171" customFormat="1" ht="33.950000000000003" customHeight="1">
      <c r="A12" s="166"/>
      <c r="B12" s="167" t="s">
        <v>194</v>
      </c>
      <c r="C12" s="170"/>
      <c r="D12" s="173">
        <f>400/F12</f>
        <v>346.62045060658579</v>
      </c>
      <c r="E12" s="170"/>
      <c r="F12" s="170">
        <v>1.1539999999999999</v>
      </c>
      <c r="G12" s="170"/>
      <c r="H12" s="170"/>
    </row>
    <row r="13" spans="1:8" s="171" customFormat="1" ht="33.950000000000003" customHeight="1">
      <c r="A13" s="166"/>
      <c r="B13" s="167" t="s">
        <v>195</v>
      </c>
      <c r="C13" s="170"/>
      <c r="D13" s="173">
        <f>334/F13</f>
        <v>334</v>
      </c>
      <c r="E13" s="170"/>
      <c r="F13" s="175">
        <v>1</v>
      </c>
      <c r="G13" s="170"/>
      <c r="H13" s="170"/>
    </row>
    <row r="14" spans="1:8" s="171" customFormat="1" ht="33.950000000000003" customHeight="1">
      <c r="A14" s="166"/>
      <c r="B14" s="167" t="s">
        <v>196</v>
      </c>
      <c r="C14" s="174" t="s">
        <v>197</v>
      </c>
      <c r="D14" s="173">
        <v>648.4</v>
      </c>
      <c r="E14" s="174" t="s">
        <v>197</v>
      </c>
      <c r="F14" s="175">
        <v>0.96</v>
      </c>
      <c r="G14" s="170"/>
      <c r="H14" s="170"/>
    </row>
    <row r="15" spans="1:8" s="171" customFormat="1" ht="33.950000000000003" customHeight="1">
      <c r="A15" s="166">
        <v>6</v>
      </c>
      <c r="B15" s="167" t="s">
        <v>198</v>
      </c>
      <c r="C15" s="170"/>
      <c r="D15" s="170" t="str">
        <f>"M/s. " &amp;input!B5</f>
        <v>M/s. DMW</v>
      </c>
      <c r="E15" s="170"/>
      <c r="F15" s="170"/>
      <c r="G15" s="170"/>
      <c r="H15" s="170"/>
    </row>
    <row r="16" spans="1:8" s="171" customFormat="1" ht="33.950000000000003" customHeight="1">
      <c r="A16" s="166">
        <v>7</v>
      </c>
      <c r="B16" s="167" t="s">
        <v>199</v>
      </c>
      <c r="C16" s="170"/>
      <c r="D16" s="176" t="str">
        <f>CONCATENATE(input!C7,", RDSO Inspection cell")</f>
        <v>Sh. S K Saxena, RDSO Inspection cell</v>
      </c>
      <c r="E16" s="170"/>
      <c r="F16" s="170"/>
      <c r="G16" s="170"/>
      <c r="H16" s="170"/>
    </row>
    <row r="17" spans="1:11" s="171" customFormat="1" ht="33.950000000000003" customHeight="1">
      <c r="A17" s="166">
        <v>8</v>
      </c>
      <c r="B17" s="167" t="s">
        <v>200</v>
      </c>
      <c r="C17" s="170"/>
      <c r="D17" s="177">
        <f>input!C6</f>
        <v>43483</v>
      </c>
      <c r="E17" s="170"/>
      <c r="F17" s="170"/>
      <c r="G17" s="170"/>
      <c r="H17" s="170"/>
    </row>
    <row r="18" spans="1:11" s="171" customFormat="1" ht="33.950000000000003" customHeight="1">
      <c r="A18" s="166">
        <v>9</v>
      </c>
      <c r="B18" s="167" t="s">
        <v>201</v>
      </c>
      <c r="C18" s="170"/>
      <c r="D18" s="178" t="str">
        <f>input!G1</f>
        <v>BHEL-77-01-19-</v>
      </c>
      <c r="E18" s="169">
        <f>+E4</f>
        <v>2046943</v>
      </c>
      <c r="F18" s="170"/>
      <c r="G18" s="170"/>
      <c r="H18" s="170"/>
    </row>
    <row r="19" spans="1:11" s="171" customFormat="1" ht="33.950000000000003" customHeight="1">
      <c r="A19" s="170"/>
      <c r="B19" s="170"/>
      <c r="C19" s="170"/>
      <c r="D19" s="170"/>
      <c r="E19" s="170"/>
      <c r="F19" s="170"/>
      <c r="G19" s="170"/>
      <c r="H19" s="170"/>
    </row>
    <row r="20" spans="1:11" s="171" customFormat="1" ht="33.950000000000003" customHeight="1">
      <c r="A20" s="170"/>
      <c r="B20" s="179" t="s">
        <v>202</v>
      </c>
      <c r="C20" s="170"/>
      <c r="D20" s="179" t="s">
        <v>203</v>
      </c>
      <c r="E20" s="170"/>
      <c r="F20" s="167" t="s">
        <v>204</v>
      </c>
      <c r="G20" s="170"/>
      <c r="H20" s="170"/>
    </row>
    <row r="21" spans="1:11" s="171" customFormat="1" ht="33.950000000000003" customHeight="1">
      <c r="A21" s="170"/>
      <c r="B21" s="179" t="s">
        <v>205</v>
      </c>
      <c r="C21" s="170"/>
      <c r="D21" s="179" t="s">
        <v>205</v>
      </c>
      <c r="E21" s="170"/>
      <c r="F21" s="167" t="s">
        <v>205</v>
      </c>
      <c r="G21" s="170"/>
      <c r="H21" s="170"/>
    </row>
    <row r="22" spans="1:11" s="171" customFormat="1" ht="26.1" customHeight="1"/>
    <row r="23" spans="1:11" s="171" customFormat="1" ht="20.100000000000001" customHeight="1">
      <c r="A23" s="180">
        <v>1</v>
      </c>
      <c r="B23" s="181" t="s">
        <v>206</v>
      </c>
      <c r="C23" s="181"/>
    </row>
    <row r="24" spans="1:11" s="171" customFormat="1" ht="6.75" customHeight="1"/>
    <row r="25" spans="1:11" s="171" customFormat="1" ht="34.5" customHeight="1">
      <c r="B25" s="326" t="s">
        <v>207</v>
      </c>
      <c r="C25" s="326"/>
      <c r="D25" s="326"/>
      <c r="E25" s="326"/>
      <c r="F25" s="326"/>
      <c r="G25" s="326"/>
    </row>
    <row r="26" spans="1:11" s="171" customFormat="1" ht="8.25" customHeight="1" thickBot="1">
      <c r="J26" s="327" t="s">
        <v>208</v>
      </c>
      <c r="K26" s="327"/>
    </row>
    <row r="27" spans="1:11" s="171" customFormat="1" ht="20.100000000000001" customHeight="1" thickBot="1">
      <c r="B27" s="323" t="s">
        <v>209</v>
      </c>
      <c r="C27" s="324"/>
      <c r="D27" s="324" t="s">
        <v>210</v>
      </c>
      <c r="E27" s="324"/>
      <c r="F27" s="182" t="s">
        <v>155</v>
      </c>
      <c r="J27" s="183"/>
      <c r="K27" s="183"/>
    </row>
    <row r="28" spans="1:11" s="171" customFormat="1" ht="20.100000000000001" customHeight="1">
      <c r="B28" s="322" t="s">
        <v>123</v>
      </c>
      <c r="C28" s="316"/>
      <c r="D28" s="316">
        <v>19.7</v>
      </c>
      <c r="E28" s="316"/>
      <c r="F28" s="184">
        <f>input!C10</f>
        <v>19.72</v>
      </c>
      <c r="J28" s="183">
        <f>0.995*D28</f>
        <v>19.601499999999998</v>
      </c>
      <c r="K28" s="183">
        <f>1.005*D28</f>
        <v>19.798499999999997</v>
      </c>
    </row>
    <row r="29" spans="1:11" s="171" customFormat="1" ht="14.25">
      <c r="B29" s="317"/>
      <c r="C29" s="307"/>
      <c r="D29" s="303"/>
      <c r="E29" s="303"/>
      <c r="F29" s="185"/>
    </row>
    <row r="30" spans="1:11" s="171" customFormat="1" ht="20.100000000000001" customHeight="1">
      <c r="B30" s="321" t="s">
        <v>124</v>
      </c>
      <c r="C30" s="303"/>
      <c r="D30" s="303">
        <v>19.7</v>
      </c>
      <c r="E30" s="303"/>
      <c r="F30" s="186">
        <f>input!C11</f>
        <v>19.71</v>
      </c>
      <c r="J30" s="183">
        <f>0.995*D30</f>
        <v>19.601499999999998</v>
      </c>
      <c r="K30" s="183">
        <f>1.005*D30</f>
        <v>19.798499999999997</v>
      </c>
    </row>
    <row r="31" spans="1:11" s="171" customFormat="1" ht="14.25">
      <c r="B31" s="317"/>
      <c r="C31" s="307"/>
      <c r="D31" s="303"/>
      <c r="E31" s="303"/>
      <c r="F31" s="185"/>
    </row>
    <row r="32" spans="1:11" s="171" customFormat="1" ht="20.100000000000001" customHeight="1">
      <c r="B32" s="321" t="s">
        <v>211</v>
      </c>
      <c r="C32" s="303"/>
      <c r="D32" s="303">
        <v>19.7</v>
      </c>
      <c r="E32" s="303"/>
      <c r="F32" s="186">
        <f>input!C12</f>
        <v>19.72</v>
      </c>
      <c r="J32" s="183">
        <f>0.995*D32</f>
        <v>19.601499999999998</v>
      </c>
      <c r="K32" s="183">
        <f>1.005*D32</f>
        <v>19.798499999999997</v>
      </c>
    </row>
    <row r="33" spans="1:11" s="171" customFormat="1" ht="14.25">
      <c r="B33" s="317"/>
      <c r="C33" s="307"/>
      <c r="D33" s="303"/>
      <c r="E33" s="303"/>
      <c r="F33" s="185"/>
    </row>
    <row r="34" spans="1:11" s="171" customFormat="1" ht="20.100000000000001" customHeight="1">
      <c r="B34" s="321" t="s">
        <v>126</v>
      </c>
      <c r="C34" s="303"/>
      <c r="D34" s="303">
        <v>19.7</v>
      </c>
      <c r="E34" s="303"/>
      <c r="F34" s="186">
        <f>input!C13</f>
        <v>19.71</v>
      </c>
      <c r="J34" s="183">
        <f>0.995*D34</f>
        <v>19.601499999999998</v>
      </c>
      <c r="K34" s="183">
        <f>1.005*D34</f>
        <v>19.798499999999997</v>
      </c>
    </row>
    <row r="35" spans="1:11" s="171" customFormat="1" ht="14.25">
      <c r="B35" s="317"/>
      <c r="C35" s="307"/>
      <c r="D35" s="303"/>
      <c r="E35" s="303"/>
      <c r="F35" s="185"/>
    </row>
    <row r="36" spans="1:11" s="171" customFormat="1" ht="20.100000000000001" customHeight="1">
      <c r="B36" s="321" t="s">
        <v>127</v>
      </c>
      <c r="C36" s="303"/>
      <c r="D36" s="303">
        <v>21.66</v>
      </c>
      <c r="E36" s="303"/>
      <c r="F36" s="186">
        <f>input!C14</f>
        <v>21.67</v>
      </c>
      <c r="J36" s="183">
        <f>0.995*D36</f>
        <v>21.5517</v>
      </c>
      <c r="K36" s="183">
        <f>1.005*D36</f>
        <v>21.768299999999996</v>
      </c>
    </row>
    <row r="37" spans="1:11" s="171" customFormat="1" ht="14.25">
      <c r="B37" s="317"/>
      <c r="C37" s="307"/>
      <c r="D37" s="303"/>
      <c r="E37" s="303"/>
      <c r="F37" s="185"/>
    </row>
    <row r="38" spans="1:11" s="171" customFormat="1" ht="20.100000000000001" customHeight="1">
      <c r="B38" s="321" t="s">
        <v>128</v>
      </c>
      <c r="C38" s="303"/>
      <c r="D38" s="303">
        <v>25</v>
      </c>
      <c r="E38" s="303"/>
      <c r="F38" s="186">
        <f>input!C15</f>
        <v>25</v>
      </c>
      <c r="J38" s="183">
        <f>0.995*D38</f>
        <v>24.875</v>
      </c>
      <c r="K38" s="183">
        <f>1.005*D38</f>
        <v>25.124999999999996</v>
      </c>
    </row>
    <row r="39" spans="1:11" s="171" customFormat="1" ht="14.25">
      <c r="B39" s="317"/>
      <c r="C39" s="307"/>
      <c r="D39" s="303"/>
      <c r="E39" s="303"/>
      <c r="F39" s="185"/>
    </row>
    <row r="40" spans="1:11" s="171" customFormat="1" ht="15" thickBot="1">
      <c r="B40" s="309" t="s">
        <v>129</v>
      </c>
      <c r="C40" s="305"/>
      <c r="D40" s="305">
        <v>26.04</v>
      </c>
      <c r="E40" s="305"/>
      <c r="F40" s="187">
        <f>input!C16</f>
        <v>26</v>
      </c>
    </row>
    <row r="41" spans="1:11" s="171" customFormat="1" ht="14.25">
      <c r="B41" s="318"/>
      <c r="C41" s="319"/>
      <c r="D41" s="320"/>
      <c r="E41" s="319"/>
      <c r="F41" s="188"/>
    </row>
    <row r="42" spans="1:11" s="171" customFormat="1" ht="15" thickBot="1">
      <c r="B42" s="309" t="s">
        <v>130</v>
      </c>
      <c r="C42" s="305"/>
      <c r="D42" s="305">
        <v>26.04</v>
      </c>
      <c r="E42" s="305"/>
      <c r="F42" s="187">
        <f>input!C17</f>
        <v>26</v>
      </c>
    </row>
    <row r="43" spans="1:11" s="171" customFormat="1" ht="8.25" customHeight="1"/>
    <row r="44" spans="1:11" s="171" customFormat="1" ht="20.100000000000001" customHeight="1">
      <c r="B44" s="189" t="s">
        <v>212</v>
      </c>
    </row>
    <row r="45" spans="1:11" s="171" customFormat="1" ht="9.75" customHeight="1"/>
    <row r="46" spans="1:11" s="171" customFormat="1" ht="20.100000000000001" customHeight="1">
      <c r="A46" s="180">
        <v>2</v>
      </c>
      <c r="B46" s="181" t="s">
        <v>213</v>
      </c>
    </row>
    <row r="47" spans="1:11" s="171" customFormat="1" ht="10.5" customHeight="1" thickBot="1"/>
    <row r="48" spans="1:11" s="171" customFormat="1" ht="15.75" customHeight="1">
      <c r="B48" s="310" t="s">
        <v>209</v>
      </c>
      <c r="C48" s="304"/>
      <c r="D48" s="304" t="s">
        <v>214</v>
      </c>
      <c r="E48" s="304"/>
      <c r="F48" s="311"/>
    </row>
    <row r="49" spans="2:6" s="171" customFormat="1" ht="15.75" customHeight="1">
      <c r="B49" s="312"/>
      <c r="C49" s="313"/>
      <c r="D49" s="313" t="s">
        <v>215</v>
      </c>
      <c r="E49" s="313"/>
      <c r="F49" s="190" t="s">
        <v>216</v>
      </c>
    </row>
    <row r="50" spans="2:6" s="171" customFormat="1" ht="15" customHeight="1" thickBot="1">
      <c r="B50" s="314"/>
      <c r="C50" s="315"/>
      <c r="D50" s="152" t="s">
        <v>217</v>
      </c>
      <c r="E50" s="191">
        <f>input!E19</f>
        <v>18</v>
      </c>
      <c r="F50" s="192" t="s">
        <v>218</v>
      </c>
    </row>
    <row r="51" spans="2:6" s="171" customFormat="1" ht="20.100000000000001" customHeight="1">
      <c r="B51" s="193" t="s">
        <v>25</v>
      </c>
      <c r="C51" s="194" t="s">
        <v>134</v>
      </c>
      <c r="D51" s="316">
        <f>input!C20</f>
        <v>496.7</v>
      </c>
      <c r="E51" s="316"/>
      <c r="F51" s="195">
        <f>310*D51/(235+E$50)</f>
        <v>608.604743083004</v>
      </c>
    </row>
    <row r="52" spans="2:6" s="171" customFormat="1" ht="14.25">
      <c r="B52" s="196"/>
      <c r="C52" s="197"/>
      <c r="D52" s="303"/>
      <c r="E52" s="303"/>
      <c r="F52" s="185"/>
    </row>
    <row r="53" spans="2:6" s="171" customFormat="1" ht="20.100000000000001" customHeight="1">
      <c r="B53" s="198" t="s">
        <v>219</v>
      </c>
      <c r="C53" s="199" t="s">
        <v>13</v>
      </c>
      <c r="D53" s="303">
        <f>input!C21</f>
        <v>9.9670000000000005</v>
      </c>
      <c r="E53" s="303"/>
      <c r="F53" s="200">
        <f>310*D53/(235+E$50)</f>
        <v>12.212529644268775</v>
      </c>
    </row>
    <row r="54" spans="2:6" s="171" customFormat="1" ht="14.25">
      <c r="B54" s="196"/>
      <c r="C54" s="197"/>
      <c r="D54" s="303"/>
      <c r="E54" s="303"/>
      <c r="F54" s="185"/>
    </row>
    <row r="55" spans="2:6" s="171" customFormat="1" ht="20.100000000000001" customHeight="1">
      <c r="B55" s="198" t="s">
        <v>60</v>
      </c>
      <c r="C55" s="199" t="s">
        <v>16</v>
      </c>
      <c r="D55" s="303">
        <f>input!C22</f>
        <v>9.4369999999999994</v>
      </c>
      <c r="E55" s="303"/>
      <c r="F55" s="200">
        <f>310*D55/(235+E$50)</f>
        <v>11.563122529644268</v>
      </c>
    </row>
    <row r="56" spans="2:6" s="171" customFormat="1" ht="14.25">
      <c r="B56" s="196"/>
      <c r="C56" s="197"/>
      <c r="D56" s="303"/>
      <c r="E56" s="303"/>
      <c r="F56" s="185"/>
    </row>
    <row r="57" spans="2:6" s="171" customFormat="1" ht="20.100000000000001" customHeight="1">
      <c r="B57" s="198" t="s">
        <v>63</v>
      </c>
      <c r="C57" s="199" t="s">
        <v>18</v>
      </c>
      <c r="D57" s="303">
        <f>input!C23</f>
        <v>9.2720000000000002</v>
      </c>
      <c r="E57" s="303"/>
      <c r="F57" s="200">
        <f>310*D57/(235+E$50)</f>
        <v>11.36094861660079</v>
      </c>
    </row>
    <row r="58" spans="2:6" s="171" customFormat="1" ht="14.25">
      <c r="B58" s="196"/>
      <c r="C58" s="197"/>
      <c r="D58" s="303"/>
      <c r="E58" s="303"/>
      <c r="F58" s="185"/>
    </row>
    <row r="59" spans="2:6" s="171" customFormat="1" ht="20.100000000000001" customHeight="1">
      <c r="B59" s="198" t="s">
        <v>65</v>
      </c>
      <c r="C59" s="199" t="s">
        <v>19</v>
      </c>
      <c r="D59" s="303">
        <f>input!C24</f>
        <v>9.1470000000000002</v>
      </c>
      <c r="E59" s="303"/>
      <c r="F59" s="200">
        <f>310*D59/(235+E$50)</f>
        <v>11.207786561264824</v>
      </c>
    </row>
    <row r="60" spans="2:6" s="171" customFormat="1" ht="14.25">
      <c r="B60" s="196"/>
      <c r="C60" s="197"/>
      <c r="D60" s="303"/>
      <c r="E60" s="303"/>
      <c r="F60" s="185"/>
    </row>
    <row r="61" spans="2:6" s="171" customFormat="1" ht="20.100000000000001" customHeight="1">
      <c r="B61" s="198" t="s">
        <v>194</v>
      </c>
      <c r="C61" s="199" t="s">
        <v>20</v>
      </c>
      <c r="D61" s="303">
        <f>input!C25</f>
        <v>13.927</v>
      </c>
      <c r="E61" s="303"/>
      <c r="F61" s="200">
        <f>310*D61/(235+E$50)</f>
        <v>17.064703557312253</v>
      </c>
    </row>
    <row r="62" spans="2:6" s="171" customFormat="1" ht="14.25">
      <c r="B62" s="196"/>
      <c r="C62" s="197"/>
      <c r="D62" s="303"/>
      <c r="E62" s="303"/>
      <c r="F62" s="185"/>
    </row>
    <row r="63" spans="2:6" s="171" customFormat="1" ht="20.100000000000001" customHeight="1">
      <c r="B63" s="198" t="s">
        <v>195</v>
      </c>
      <c r="C63" s="199" t="s">
        <v>21</v>
      </c>
      <c r="D63" s="303">
        <f>input!C26</f>
        <v>18.196999999999999</v>
      </c>
      <c r="E63" s="303"/>
      <c r="F63" s="200">
        <f>310*D63/(235+E$50)</f>
        <v>22.296719367588931</v>
      </c>
    </row>
    <row r="64" spans="2:6" s="171" customFormat="1" ht="14.25">
      <c r="B64" s="196"/>
      <c r="C64" s="197"/>
      <c r="D64" s="303"/>
      <c r="E64" s="303"/>
      <c r="F64" s="185"/>
    </row>
    <row r="65" spans="1:8" s="171" customFormat="1" ht="15" thickBot="1">
      <c r="B65" s="201" t="s">
        <v>67</v>
      </c>
      <c r="C65" s="202" t="s">
        <v>22</v>
      </c>
      <c r="D65" s="305">
        <f>input!C27</f>
        <v>12.792</v>
      </c>
      <c r="E65" s="305"/>
      <c r="F65" s="203">
        <f>310*D65/(235+E$50)</f>
        <v>15.67399209486166</v>
      </c>
    </row>
    <row r="66" spans="1:8" s="171" customFormat="1" ht="14.25">
      <c r="B66" s="204"/>
      <c r="C66" s="205"/>
      <c r="D66" s="306"/>
      <c r="E66" s="307"/>
      <c r="F66" s="188"/>
    </row>
    <row r="67" spans="1:8" s="171" customFormat="1" ht="20.100000000000001" customHeight="1" thickBot="1">
      <c r="B67" s="201" t="s">
        <v>69</v>
      </c>
      <c r="C67" s="202" t="s">
        <v>23</v>
      </c>
      <c r="D67" s="305">
        <f>input!C28</f>
        <v>12.827</v>
      </c>
      <c r="E67" s="305"/>
      <c r="F67" s="203">
        <f>310*D67/(235+E$50)</f>
        <v>15.716877470355731</v>
      </c>
    </row>
    <row r="68" spans="1:8" s="171" customFormat="1" ht="20.100000000000001" customHeight="1">
      <c r="A68" s="180">
        <v>3</v>
      </c>
      <c r="B68" s="206" t="s">
        <v>220</v>
      </c>
      <c r="C68" s="207"/>
      <c r="D68" s="207"/>
      <c r="E68" s="207"/>
      <c r="F68" s="207"/>
      <c r="G68" s="208"/>
    </row>
    <row r="69" spans="1:8" s="171" customFormat="1" ht="20.100000000000001" customHeight="1">
      <c r="A69" s="208"/>
      <c r="B69" s="207" t="s">
        <v>221</v>
      </c>
      <c r="C69" s="207"/>
      <c r="D69" s="207"/>
      <c r="E69" s="207"/>
      <c r="F69" s="207"/>
      <c r="G69" s="208"/>
    </row>
    <row r="70" spans="1:8" s="171" customFormat="1" ht="20.100000000000001" customHeight="1">
      <c r="A70" s="208"/>
      <c r="B70" s="207" t="s">
        <v>222</v>
      </c>
      <c r="C70" s="207"/>
      <c r="D70" s="207"/>
      <c r="E70" s="207"/>
      <c r="F70" s="209" t="s">
        <v>223</v>
      </c>
      <c r="G70" s="208"/>
    </row>
    <row r="71" spans="1:8" s="171" customFormat="1" ht="9.75" customHeight="1" thickBot="1">
      <c r="A71" s="208"/>
      <c r="B71" s="207"/>
      <c r="C71" s="207"/>
      <c r="D71" s="207"/>
      <c r="E71" s="207"/>
      <c r="F71" s="207"/>
      <c r="G71" s="208"/>
    </row>
    <row r="72" spans="1:8" s="171" customFormat="1" ht="20.100000000000001" customHeight="1">
      <c r="B72" s="210" t="s">
        <v>224</v>
      </c>
      <c r="C72" s="211" t="s">
        <v>225</v>
      </c>
      <c r="D72" s="211" t="s">
        <v>226</v>
      </c>
      <c r="E72" s="211" t="s">
        <v>91</v>
      </c>
      <c r="F72" s="211" t="s">
        <v>227</v>
      </c>
      <c r="G72" s="211" t="s">
        <v>155</v>
      </c>
      <c r="H72" s="212" t="s">
        <v>228</v>
      </c>
    </row>
    <row r="73" spans="1:8" s="171" customFormat="1" ht="20.100000000000001" customHeight="1" thickBot="1">
      <c r="B73" s="213" t="s">
        <v>229</v>
      </c>
      <c r="C73" s="191" t="s">
        <v>92</v>
      </c>
      <c r="D73" s="191" t="s">
        <v>92</v>
      </c>
      <c r="E73" s="191"/>
      <c r="F73" s="191" t="s">
        <v>230</v>
      </c>
      <c r="G73" s="191" t="s">
        <v>231</v>
      </c>
      <c r="H73" s="214" t="s">
        <v>231</v>
      </c>
    </row>
    <row r="74" spans="1:8" s="171" customFormat="1" ht="20.100000000000001" customHeight="1">
      <c r="B74" s="215">
        <v>0.8</v>
      </c>
      <c r="C74" s="194">
        <f>input!C53*input!C51</f>
        <v>805</v>
      </c>
      <c r="D74" s="216">
        <f>input!D53*input!D51</f>
        <v>720.8</v>
      </c>
      <c r="E74" s="194">
        <f>input!B53*input!B51</f>
        <v>9.5</v>
      </c>
      <c r="F74" s="217">
        <f>E74*100/F$38/D$10</f>
        <v>0.12218649517684887</v>
      </c>
      <c r="G74" s="194">
        <f>input!E53</f>
        <v>1.2</v>
      </c>
      <c r="H74" s="218">
        <f>G74/(0.5+0.5*(C74*C74/D74/D74/1.11/1.11))</f>
        <v>1.1926554247517487</v>
      </c>
    </row>
    <row r="75" spans="1:8" s="171" customFormat="1" ht="8.25" customHeight="1">
      <c r="B75" s="196"/>
      <c r="C75" s="197"/>
      <c r="D75" s="219"/>
      <c r="E75" s="199"/>
      <c r="F75" s="199"/>
      <c r="G75" s="197"/>
      <c r="H75" s="185"/>
    </row>
    <row r="76" spans="1:8" s="171" customFormat="1" ht="17.25" customHeight="1">
      <c r="B76" s="220">
        <v>0.9</v>
      </c>
      <c r="C76" s="199">
        <f>input!C54*input!C51</f>
        <v>907</v>
      </c>
      <c r="D76" s="221">
        <f>input!D54*input!D51</f>
        <v>810.9</v>
      </c>
      <c r="E76" s="199">
        <f>input!B54*input!B51</f>
        <v>17.7</v>
      </c>
      <c r="F76" s="222">
        <f>E76*100/F$38/D$10</f>
        <v>0.22765273311897105</v>
      </c>
      <c r="G76" s="199">
        <f>input!E54</f>
        <v>1.9</v>
      </c>
      <c r="H76" s="223">
        <f>G76/(0.5+0.5*(C76*C76/D76/D76/1.11/1.11))</f>
        <v>1.8854886657719361</v>
      </c>
    </row>
    <row r="77" spans="1:8" s="171" customFormat="1" ht="8.25" customHeight="1">
      <c r="B77" s="196"/>
      <c r="C77" s="197"/>
      <c r="D77" s="219"/>
      <c r="E77" s="199"/>
      <c r="F77" s="199"/>
      <c r="G77" s="197"/>
      <c r="H77" s="185"/>
    </row>
    <row r="78" spans="1:8" s="171" customFormat="1" ht="20.100000000000001" customHeight="1">
      <c r="B78" s="220">
        <v>1</v>
      </c>
      <c r="C78" s="199">
        <f>input!C55*input!C51</f>
        <v>1006</v>
      </c>
      <c r="D78" s="221">
        <f>input!D55*input!D51</f>
        <v>901</v>
      </c>
      <c r="E78" s="199">
        <f>input!B55*input!B51</f>
        <v>28.599999999999998</v>
      </c>
      <c r="F78" s="222">
        <f>E78*100/F$38/D$10</f>
        <v>0.36784565916398715</v>
      </c>
      <c r="G78" s="199">
        <f>input!E55</f>
        <v>2.8</v>
      </c>
      <c r="H78" s="223">
        <f>G78/(0.5+0.5*(C78*C78/D78/D78/1.11/1.11))</f>
        <v>2.7835583713399012</v>
      </c>
    </row>
    <row r="79" spans="1:8" s="171" customFormat="1" ht="7.5" customHeight="1">
      <c r="B79" s="196"/>
      <c r="C79" s="197"/>
      <c r="D79" s="219"/>
      <c r="E79" s="199"/>
      <c r="F79" s="199"/>
      <c r="G79" s="197"/>
      <c r="H79" s="185"/>
    </row>
    <row r="80" spans="1:8" s="171" customFormat="1" ht="20.100000000000001" customHeight="1" thickBot="1">
      <c r="B80" s="224">
        <v>1.1000000000000001</v>
      </c>
      <c r="C80" s="202">
        <f>input!C56*input!C51</f>
        <v>1122</v>
      </c>
      <c r="D80" s="225">
        <f>input!D56*input!D51</f>
        <v>991.1</v>
      </c>
      <c r="E80" s="202">
        <f>input!B56*input!B51</f>
        <v>51.9</v>
      </c>
      <c r="F80" s="226">
        <f>E80*100/F$38/D$10</f>
        <v>0.66752411575562698</v>
      </c>
      <c r="G80" s="202">
        <f>input!E56</f>
        <v>4.2</v>
      </c>
      <c r="H80" s="227">
        <f>G80/(0.5+0.5*(C80*C80/D80/D80/1.11/1.11))</f>
        <v>4.1173016298089067</v>
      </c>
    </row>
    <row r="81" spans="1:8" s="171" customFormat="1" ht="12" customHeight="1"/>
    <row r="82" spans="1:8" s="171" customFormat="1" ht="20.100000000000001" customHeight="1">
      <c r="A82" s="180">
        <v>4</v>
      </c>
      <c r="B82" s="228" t="s">
        <v>232</v>
      </c>
      <c r="C82" s="229"/>
      <c r="D82" s="229"/>
      <c r="E82" s="229"/>
      <c r="F82" s="229"/>
      <c r="G82" s="229"/>
    </row>
    <row r="83" spans="1:8" s="171" customFormat="1" ht="20.100000000000001" customHeight="1">
      <c r="B83" s="208" t="s">
        <v>233</v>
      </c>
    </row>
    <row r="84" spans="1:8" s="171" customFormat="1" ht="20.100000000000001" customHeight="1">
      <c r="B84" s="171" t="s">
        <v>234</v>
      </c>
      <c r="E84" s="230" t="s">
        <v>235</v>
      </c>
    </row>
    <row r="85" spans="1:8" s="171" customFormat="1" ht="17.25" customHeight="1">
      <c r="B85" s="171" t="s">
        <v>236</v>
      </c>
    </row>
    <row r="86" spans="1:8" s="171" customFormat="1" ht="20.100000000000001" customHeight="1">
      <c r="B86" s="171" t="s">
        <v>237</v>
      </c>
      <c r="C86" s="171" t="s">
        <v>238</v>
      </c>
      <c r="D86" s="171">
        <v>60</v>
      </c>
      <c r="E86" s="171" t="s">
        <v>239</v>
      </c>
    </row>
    <row r="87" spans="1:8" s="171" customFormat="1" ht="20.100000000000001" customHeight="1">
      <c r="C87" s="171" t="s">
        <v>240</v>
      </c>
      <c r="D87" s="171">
        <v>60</v>
      </c>
      <c r="E87" s="171" t="s">
        <v>241</v>
      </c>
    </row>
    <row r="88" spans="1:8" s="171" customFormat="1" ht="20.100000000000001" customHeight="1">
      <c r="C88" s="171" t="s">
        <v>242</v>
      </c>
      <c r="D88" s="171">
        <v>4</v>
      </c>
      <c r="E88" s="171" t="s">
        <v>243</v>
      </c>
    </row>
    <row r="89" spans="1:8" s="171" customFormat="1" ht="20.100000000000001" customHeight="1">
      <c r="C89" s="171" t="s">
        <v>244</v>
      </c>
      <c r="D89" s="171">
        <v>10</v>
      </c>
      <c r="E89" s="171" t="s">
        <v>243</v>
      </c>
    </row>
    <row r="90" spans="1:8" s="171" customFormat="1" ht="20.100000000000001" customHeight="1">
      <c r="C90" s="308" t="s">
        <v>245</v>
      </c>
      <c r="D90" s="308"/>
      <c r="E90" s="171" t="s">
        <v>239</v>
      </c>
    </row>
    <row r="91" spans="1:8" s="171" customFormat="1" ht="20.100000000000001" customHeight="1">
      <c r="C91" s="231" t="s">
        <v>246</v>
      </c>
      <c r="D91" s="171">
        <f>input!E61</f>
        <v>20</v>
      </c>
      <c r="E91" s="171" t="s">
        <v>133</v>
      </c>
    </row>
    <row r="92" spans="1:8" s="171" customFormat="1" ht="8.25" customHeight="1" thickBot="1"/>
    <row r="93" spans="1:8" s="171" customFormat="1" ht="20.100000000000001" customHeight="1">
      <c r="A93" s="232" t="s">
        <v>247</v>
      </c>
      <c r="B93" s="211" t="s">
        <v>248</v>
      </c>
      <c r="C93" s="211" t="s">
        <v>155</v>
      </c>
      <c r="D93" s="211"/>
      <c r="E93" s="211" t="s">
        <v>249</v>
      </c>
      <c r="F93" s="304" t="s">
        <v>250</v>
      </c>
      <c r="G93" s="304"/>
      <c r="H93" s="212" t="s">
        <v>251</v>
      </c>
    </row>
    <row r="94" spans="1:8" s="171" customFormat="1" ht="20.100000000000001" customHeight="1">
      <c r="A94" s="233" t="s">
        <v>170</v>
      </c>
      <c r="B94" s="157" t="s">
        <v>91</v>
      </c>
      <c r="C94" s="157" t="s">
        <v>91</v>
      </c>
      <c r="D94" s="157" t="s">
        <v>92</v>
      </c>
      <c r="E94" s="157" t="s">
        <v>252</v>
      </c>
      <c r="F94" s="157" t="s">
        <v>253</v>
      </c>
      <c r="G94" s="157" t="s">
        <v>254</v>
      </c>
      <c r="H94" s="234" t="s">
        <v>255</v>
      </c>
    </row>
    <row r="95" spans="1:8" s="171" customFormat="1" ht="20.100000000000001" customHeight="1" thickBot="1">
      <c r="A95" s="213"/>
      <c r="B95" s="191" t="s">
        <v>256</v>
      </c>
      <c r="C95" s="191" t="s">
        <v>256</v>
      </c>
      <c r="D95" s="191" t="s">
        <v>257</v>
      </c>
      <c r="E95" s="191"/>
      <c r="F95" s="191" t="s">
        <v>258</v>
      </c>
      <c r="G95" s="191" t="s">
        <v>258</v>
      </c>
      <c r="H95" s="214" t="s">
        <v>259</v>
      </c>
    </row>
    <row r="96" spans="1:8" s="171" customFormat="1" ht="20.100000000000001" customHeight="1">
      <c r="A96" s="193" t="s">
        <v>157</v>
      </c>
      <c r="B96" s="194">
        <f>1449/25</f>
        <v>57.96</v>
      </c>
      <c r="C96" s="194">
        <f>input!B64*input!B63</f>
        <v>36</v>
      </c>
      <c r="D96" s="194">
        <f>input!C64*input!C63/1000</f>
        <v>8.99</v>
      </c>
      <c r="E96" s="235">
        <f>D96*B96*100/C96/F$10</f>
        <v>57.895600000000016</v>
      </c>
      <c r="F96" s="217">
        <f>B96*B96*input!D64*input!D$63/tr!C96/tr!C96/1000</f>
        <v>42.769649999999999</v>
      </c>
      <c r="G96" s="217">
        <f>(B96*B96*D$51+D$11*D$11*D53)*(235+D$91)/(235+E$50)/1000000</f>
        <v>14.779563958284518</v>
      </c>
      <c r="H96" s="195">
        <f>(F96-G96)*(235+D$91)/310+G96*310/(235+D$91)</f>
        <v>40.991416081640622</v>
      </c>
    </row>
    <row r="97" spans="1:12" s="171" customFormat="1" ht="12" customHeight="1">
      <c r="A97" s="196"/>
      <c r="B97" s="197"/>
      <c r="C97" s="197"/>
      <c r="D97" s="303"/>
      <c r="E97" s="303"/>
      <c r="F97" s="197"/>
      <c r="G97" s="197"/>
      <c r="H97" s="236"/>
    </row>
    <row r="98" spans="1:12" s="171" customFormat="1" ht="20.100000000000001" customHeight="1">
      <c r="A98" s="198" t="s">
        <v>158</v>
      </c>
      <c r="B98" s="199">
        <f>1449/25</f>
        <v>57.96</v>
      </c>
      <c r="C98" s="199">
        <f>input!B65*input!B63</f>
        <v>36</v>
      </c>
      <c r="D98" s="199">
        <f>input!C65*input!C63/1000</f>
        <v>9.0299999999999994</v>
      </c>
      <c r="E98" s="237">
        <f>D98*B98*100/C98/F$10</f>
        <v>58.153199999999998</v>
      </c>
      <c r="F98" s="222">
        <f>B98*B98*input!D65*input!D$63/tr!C98/tr!C98/1000</f>
        <v>42.769649999999999</v>
      </c>
      <c r="G98" s="217">
        <f>(B98*B98*D$51+D$11*D$11*D55)*(235+D$91)/(235+E$50)/1000000</f>
        <v>14.083083307503276</v>
      </c>
      <c r="H98" s="200">
        <f>(F98-G98)*(235+D$91)/310+G98*310/(235+D$91)</f>
        <v>40.717625617086199</v>
      </c>
    </row>
    <row r="99" spans="1:12" s="171" customFormat="1" ht="13.5" customHeight="1">
      <c r="A99" s="196"/>
      <c r="B99" s="197"/>
      <c r="C99" s="197"/>
      <c r="D99" s="303"/>
      <c r="E99" s="303"/>
      <c r="F99" s="197"/>
      <c r="G99" s="197"/>
      <c r="H99" s="236"/>
    </row>
    <row r="100" spans="1:12" s="171" customFormat="1" ht="20.100000000000001" customHeight="1">
      <c r="A100" s="198" t="s">
        <v>159</v>
      </c>
      <c r="B100" s="199">
        <f>1449/25</f>
        <v>57.96</v>
      </c>
      <c r="C100" s="199">
        <f>input!B66*input!B63</f>
        <v>36</v>
      </c>
      <c r="D100" s="199">
        <f>input!C66*input!C63/1000</f>
        <v>9.02</v>
      </c>
      <c r="E100" s="237">
        <f>D100*B100*100/C100/F$10</f>
        <v>58.088799999999992</v>
      </c>
      <c r="F100" s="222">
        <f>B100*B100*input!D66*input!D$63/tr!C100/tr!C100/1000</f>
        <v>42.769649999999999</v>
      </c>
      <c r="G100" s="217">
        <f>(B100*B100*D$51+D$11*D$11*D57)*(235+D$91)/(235+E$50)/1000000</f>
        <v>13.866254425656289</v>
      </c>
      <c r="H100" s="200">
        <f>(F100-G100)*(235+D$91)/310+G100*310/(235+D$91)</f>
        <v>40.632388963026813</v>
      </c>
    </row>
    <row r="101" spans="1:12" s="171" customFormat="1" ht="12.75" customHeight="1">
      <c r="A101" s="196"/>
      <c r="B101" s="197"/>
      <c r="C101" s="197"/>
      <c r="D101" s="303"/>
      <c r="E101" s="303"/>
      <c r="F101" s="197"/>
      <c r="G101" s="197"/>
      <c r="H101" s="236"/>
    </row>
    <row r="102" spans="1:12" s="171" customFormat="1" ht="20.100000000000001" customHeight="1">
      <c r="A102" s="198" t="s">
        <v>260</v>
      </c>
      <c r="B102" s="199">
        <f>1449/25</f>
        <v>57.96</v>
      </c>
      <c r="C102" s="199">
        <f>input!B67*input!B63</f>
        <v>36</v>
      </c>
      <c r="D102" s="199">
        <f>input!C67*input!C63/1000</f>
        <v>9</v>
      </c>
      <c r="E102" s="237">
        <f t="shared" ref="E102:E114" si="0">D102*B102*100/C102/F$10</f>
        <v>57.96</v>
      </c>
      <c r="F102" s="222">
        <f>B102*B102*input!D67*input!D$63/tr!C102/tr!C102/1000</f>
        <v>42.769649999999999</v>
      </c>
      <c r="G102" s="217">
        <f>(B102*B102*D$51+D$11*D$11*D59)*(235+D$91)/(235+E$50)/1000000</f>
        <v>13.701990121226752</v>
      </c>
      <c r="H102" s="200">
        <f>(F102-G102)*(235+D$91)/310+G102*310/(235+D$91)</f>
        <v>40.567815740254538</v>
      </c>
      <c r="J102" s="238"/>
      <c r="K102" s="238"/>
      <c r="L102" s="238"/>
    </row>
    <row r="103" spans="1:12" s="171" customFormat="1" ht="11.25" customHeight="1">
      <c r="A103" s="196"/>
      <c r="B103" s="197"/>
      <c r="C103" s="197"/>
      <c r="D103" s="303"/>
      <c r="E103" s="303"/>
      <c r="F103" s="197"/>
      <c r="G103" s="197"/>
      <c r="H103" s="236"/>
      <c r="J103" s="238"/>
      <c r="K103" s="238"/>
      <c r="L103" s="238"/>
    </row>
    <row r="104" spans="1:12" s="171" customFormat="1" ht="20.100000000000001" customHeight="1">
      <c r="A104" s="198" t="s">
        <v>261</v>
      </c>
      <c r="B104" s="199">
        <f>4*1449/25</f>
        <v>231.84</v>
      </c>
      <c r="C104" s="199">
        <f>input!B68*input!B63</f>
        <v>150</v>
      </c>
      <c r="D104" s="199">
        <f>input!C68*input!C63/1000</f>
        <v>10.87</v>
      </c>
      <c r="E104" s="237">
        <f t="shared" si="0"/>
        <v>67.202687999999995</v>
      </c>
      <c r="F104" s="222">
        <f>B104*B104*input!D68*input!D$63/tr!C104/tr!C104/1000</f>
        <v>189.91590912000001</v>
      </c>
      <c r="G104" s="222">
        <f>(B104*B104*D$51+D$11*D$11*(D53+D55+D57+D59))*(235+D$91)/(235+E$50)/1000000</f>
        <v>76.612316376161743</v>
      </c>
      <c r="H104" s="200">
        <f>(F104-G104)*(235+D$91)/310+G104*310/(235+D$91)</f>
        <v>186.33788389522107</v>
      </c>
      <c r="J104" s="238"/>
      <c r="K104" s="239"/>
      <c r="L104" s="238"/>
    </row>
    <row r="105" spans="1:12" s="171" customFormat="1" ht="12.75" customHeight="1">
      <c r="A105" s="196"/>
      <c r="B105" s="197"/>
      <c r="C105" s="197"/>
      <c r="D105" s="303"/>
      <c r="E105" s="303"/>
      <c r="F105" s="197"/>
      <c r="G105" s="197"/>
      <c r="H105" s="236"/>
      <c r="J105" s="238"/>
      <c r="K105" s="238"/>
      <c r="L105" s="238"/>
    </row>
    <row r="106" spans="1:12" s="171" customFormat="1" ht="20.100000000000001" customHeight="1">
      <c r="A106" s="198" t="s">
        <v>166</v>
      </c>
      <c r="B106" s="199">
        <f>400/25</f>
        <v>16</v>
      </c>
      <c r="C106" s="199">
        <f>input!B74*input!B72</f>
        <v>16.5</v>
      </c>
      <c r="D106" s="222">
        <f>input!C74*input!C72/1000</f>
        <v>1.085</v>
      </c>
      <c r="E106" s="237">
        <f t="shared" si="0"/>
        <v>4.2084848484848489</v>
      </c>
      <c r="F106" s="222">
        <f>B106*B106*input!D74*input!D$72/tr!C106/tr!C106/1000</f>
        <v>2.2920110192837466</v>
      </c>
      <c r="G106" s="222">
        <f>(B106*B106*D$51+D12*D12*D61)*(235+D$91)/(235+E$50)/1000000</f>
        <v>1.814657483833471</v>
      </c>
      <c r="H106" s="200">
        <f>(F106-G106)*(235+D$91)/310+G106*310/(235+D$91)</f>
        <v>2.5987159751935578</v>
      </c>
    </row>
    <row r="107" spans="1:12" s="171" customFormat="1" ht="12.75" customHeight="1">
      <c r="A107" s="196"/>
      <c r="B107" s="197"/>
      <c r="C107" s="197"/>
      <c r="D107" s="303"/>
      <c r="E107" s="303"/>
      <c r="F107" s="197"/>
      <c r="G107" s="197"/>
      <c r="H107" s="236"/>
    </row>
    <row r="108" spans="1:12" s="171" customFormat="1" ht="20.100000000000001" customHeight="1">
      <c r="A108" s="198" t="s">
        <v>165</v>
      </c>
      <c r="B108" s="199">
        <f>334/25</f>
        <v>13.36</v>
      </c>
      <c r="C108" s="199">
        <f>input!B73*input!B72</f>
        <v>12.750000000000002</v>
      </c>
      <c r="D108" s="222">
        <f>input!C73*input!C72/1000</f>
        <v>2.4674999999999998</v>
      </c>
      <c r="E108" s="237">
        <f t="shared" si="0"/>
        <v>10.34221176470588</v>
      </c>
      <c r="F108" s="222">
        <f>B108*B108*input!D73*input!D$72/tr!C108/tr!C108/1000</f>
        <v>2.8821850057670111</v>
      </c>
      <c r="G108" s="222">
        <f>(B108*B108*D$51+D13*D13*D63)*(235+D$91)/(235+E$50)/1000000</f>
        <v>2.1353884611130436</v>
      </c>
      <c r="H108" s="200">
        <f>(F108-G108)*(235+D$91)/310+G108*310/(235+D$91)</f>
        <v>3.2102628264274222</v>
      </c>
    </row>
    <row r="109" spans="1:12" s="171" customFormat="1" ht="10.5" customHeight="1">
      <c r="A109" s="196"/>
      <c r="B109" s="197"/>
      <c r="C109" s="197"/>
      <c r="D109" s="303"/>
      <c r="E109" s="303"/>
      <c r="F109" s="197"/>
      <c r="G109" s="197"/>
      <c r="H109" s="236"/>
    </row>
    <row r="110" spans="1:12" s="171" customFormat="1" ht="15" thickBot="1">
      <c r="A110" s="201" t="s">
        <v>162</v>
      </c>
      <c r="B110" s="202">
        <f>622.5/25</f>
        <v>24.9</v>
      </c>
      <c r="C110" s="202">
        <f>input!B69*input!B63</f>
        <v>24</v>
      </c>
      <c r="D110" s="202">
        <f>input!C69*input!C63/1000</f>
        <v>3.3700000000000006</v>
      </c>
      <c r="E110" s="240">
        <f t="shared" ref="E110" si="1">D110*B110*100/C110/F$10</f>
        <v>13.985500000000002</v>
      </c>
      <c r="F110" s="226">
        <f>B110*B110*input!D69*input!D$63/tr!C110/tr!C110/1000</f>
        <v>8.0730468749999993</v>
      </c>
      <c r="G110" s="226">
        <f>(B110*B110*D$51+D14*D14*D65)*(235+D$91)/(235+E$50)/1000000</f>
        <v>5.7309530055438733</v>
      </c>
      <c r="H110" s="203">
        <f>(F110-G110)*(235+D$91)/310+G110*310/(235+D$91)</f>
        <v>8.893601994865918</v>
      </c>
    </row>
    <row r="111" spans="1:12" s="171" customFormat="1" ht="12" customHeight="1">
      <c r="A111" s="204"/>
      <c r="B111" s="205"/>
      <c r="C111" s="205"/>
      <c r="D111" s="241"/>
      <c r="E111" s="241"/>
      <c r="F111" s="205"/>
      <c r="G111" s="205"/>
      <c r="H111" s="242"/>
    </row>
    <row r="112" spans="1:12" s="171" customFormat="1" ht="15" thickBot="1">
      <c r="A112" s="201" t="s">
        <v>163</v>
      </c>
      <c r="B112" s="202">
        <f>622.5/25</f>
        <v>24.9</v>
      </c>
      <c r="C112" s="202">
        <f>input!B70*input!B63</f>
        <v>24</v>
      </c>
      <c r="D112" s="202">
        <f>input!C70*input!C63/1000</f>
        <v>3.34</v>
      </c>
      <c r="E112" s="240">
        <f t="shared" ref="E112" si="2">D112*B112*100/C112/F$10</f>
        <v>13.861000000000001</v>
      </c>
      <c r="F112" s="226">
        <f>B112*B112*input!D70*input!D$63/tr!C112/tr!C112/1000</f>
        <v>8.0730468749999993</v>
      </c>
      <c r="G112" s="226">
        <f>(B112*B112*D$51+D14*D14*D67)*(235+D$91)/(235+E$50)/1000000</f>
        <v>5.7457841175913051</v>
      </c>
      <c r="H112" s="203">
        <f>(F112-G112)*(235+D$91)/310+G112*310/(235+D$91)</f>
        <v>8.8994321885012617</v>
      </c>
    </row>
    <row r="113" spans="1:8" s="171" customFormat="1" ht="9.75" customHeight="1">
      <c r="A113" s="204"/>
      <c r="B113" s="205"/>
      <c r="C113" s="205"/>
      <c r="D113" s="241"/>
      <c r="E113" s="241"/>
      <c r="F113" s="205"/>
      <c r="G113" s="205"/>
      <c r="H113" s="242"/>
    </row>
    <row r="114" spans="1:8" s="171" customFormat="1" ht="20.100000000000001" customHeight="1" thickBot="1">
      <c r="A114" s="243" t="s">
        <v>164</v>
      </c>
      <c r="B114" s="202">
        <f>(2*622.5)/25</f>
        <v>49.8</v>
      </c>
      <c r="C114" s="202">
        <f>input!B71*input!B63</f>
        <v>49.5</v>
      </c>
      <c r="D114" s="202">
        <f>input!C71*input!C63/1000</f>
        <v>4.92</v>
      </c>
      <c r="E114" s="240">
        <f t="shared" si="0"/>
        <v>19.799272727272726</v>
      </c>
      <c r="F114" s="226">
        <f>B114*B114*input!D71*input!D$63/tr!C114/tr!C114/1000</f>
        <v>21.255316804407705</v>
      </c>
      <c r="G114" s="226">
        <f>(B114*B114*D$51+D14*D14*(D65+D67))*(235+D$91)/(235+E$50)/1000000</f>
        <v>12.097523973609487</v>
      </c>
      <c r="H114" s="244">
        <f>(F114-G114)*(235+D$91)/310+G114*310/(235+D$91)</f>
        <v>22.239816985281795</v>
      </c>
    </row>
    <row r="115" spans="1:8" s="171" customFormat="1" ht="20.100000000000001" customHeight="1">
      <c r="A115" s="228" t="s">
        <v>262</v>
      </c>
      <c r="B115" s="229"/>
      <c r="C115" s="245">
        <f>+H104+H106+H108+H110+H112+H78</f>
        <v>212.72345525154913</v>
      </c>
      <c r="D115" s="229" t="s">
        <v>231</v>
      </c>
      <c r="E115" s="246" t="s">
        <v>263</v>
      </c>
      <c r="F115" s="229"/>
      <c r="G115" s="229"/>
      <c r="H115" s="229"/>
    </row>
    <row r="116" spans="1:8" s="171" customFormat="1" ht="20.100000000000001" customHeight="1">
      <c r="A116" s="180">
        <v>5</v>
      </c>
      <c r="B116" s="181" t="s">
        <v>264</v>
      </c>
    </row>
    <row r="117" spans="1:8" s="171" customFormat="1" ht="20.100000000000001" customHeight="1">
      <c r="B117" s="171" t="s">
        <v>265</v>
      </c>
      <c r="G117" s="229">
        <f>input!A59</f>
        <v>60</v>
      </c>
      <c r="H117" s="171" t="s">
        <v>266</v>
      </c>
    </row>
    <row r="118" spans="1:8" s="171" customFormat="1" ht="20.100000000000001" customHeight="1">
      <c r="B118" s="171" t="s">
        <v>267</v>
      </c>
      <c r="C118" s="229">
        <f>input!D59</f>
        <v>100</v>
      </c>
      <c r="D118" s="171" t="s">
        <v>268</v>
      </c>
      <c r="E118" s="229" t="s">
        <v>269</v>
      </c>
      <c r="F118" s="229">
        <f>input!G59</f>
        <v>60</v>
      </c>
      <c r="G118" s="171" t="s">
        <v>270</v>
      </c>
    </row>
    <row r="119" spans="1:8" s="171" customFormat="1" ht="20.100000000000001" customHeight="1">
      <c r="D119" s="171" t="s">
        <v>271</v>
      </c>
    </row>
    <row r="120" spans="1:8" s="171" customFormat="1" ht="20.100000000000001" customHeight="1"/>
    <row r="121" spans="1:8" s="171" customFormat="1" ht="20.100000000000001" customHeight="1">
      <c r="A121" s="180">
        <v>6</v>
      </c>
      <c r="B121" s="181" t="s">
        <v>272</v>
      </c>
    </row>
    <row r="122" spans="1:8" s="171" customFormat="1" ht="20.100000000000001" customHeight="1">
      <c r="B122" s="171" t="s">
        <v>273</v>
      </c>
    </row>
    <row r="123" spans="1:8" s="171" customFormat="1" ht="20.100000000000001" customHeight="1">
      <c r="B123" s="171" t="s">
        <v>274</v>
      </c>
    </row>
    <row r="124" spans="1:8" s="171" customFormat="1" ht="20.100000000000001" customHeight="1"/>
    <row r="125" spans="1:8" s="171" customFormat="1" ht="20.100000000000001" customHeight="1">
      <c r="B125" s="229" t="s">
        <v>275</v>
      </c>
      <c r="C125" s="171" t="s">
        <v>276</v>
      </c>
      <c r="D125" s="229" t="s">
        <v>277</v>
      </c>
      <c r="E125" s="229">
        <f>input!C41</f>
        <v>5</v>
      </c>
      <c r="F125" s="171" t="s">
        <v>278</v>
      </c>
    </row>
    <row r="126" spans="1:8" s="171" customFormat="1" ht="20.100000000000001" customHeight="1">
      <c r="B126" s="229" t="s">
        <v>279</v>
      </c>
      <c r="C126" s="171" t="s">
        <v>280</v>
      </c>
      <c r="D126" s="229" t="s">
        <v>277</v>
      </c>
      <c r="E126" s="229">
        <f>input!C42</f>
        <v>8.3000000000000007</v>
      </c>
      <c r="F126" s="171" t="s">
        <v>278</v>
      </c>
    </row>
    <row r="127" spans="1:8" s="171" customFormat="1" ht="20.100000000000001" customHeight="1">
      <c r="B127" s="229" t="s">
        <v>281</v>
      </c>
      <c r="C127" s="171" t="s">
        <v>282</v>
      </c>
      <c r="D127" s="229" t="s">
        <v>277</v>
      </c>
      <c r="E127" s="229">
        <f>input!C43</f>
        <v>5</v>
      </c>
      <c r="F127" s="171" t="s">
        <v>278</v>
      </c>
    </row>
    <row r="128" spans="1:8" s="171" customFormat="1" ht="20.100000000000001" customHeight="1">
      <c r="B128" s="229" t="s">
        <v>283</v>
      </c>
      <c r="C128" s="171" t="s">
        <v>284</v>
      </c>
      <c r="D128" s="229" t="s">
        <v>277</v>
      </c>
      <c r="E128" s="229">
        <f>input!C44</f>
        <v>5</v>
      </c>
      <c r="F128" s="171" t="s">
        <v>278</v>
      </c>
    </row>
    <row r="129" spans="1:7" s="171" customFormat="1" ht="20.100000000000001" customHeight="1">
      <c r="B129" s="229" t="s">
        <v>285</v>
      </c>
      <c r="C129" s="171" t="s">
        <v>286</v>
      </c>
      <c r="D129" s="229" t="s">
        <v>277</v>
      </c>
      <c r="E129" s="229">
        <f>input!C47</f>
        <v>5</v>
      </c>
      <c r="F129" s="171" t="s">
        <v>278</v>
      </c>
    </row>
    <row r="130" spans="1:7" s="171" customFormat="1" ht="20.100000000000001" customHeight="1">
      <c r="D130" s="171" t="s">
        <v>271</v>
      </c>
    </row>
    <row r="131" spans="1:7" s="171" customFormat="1" ht="20.100000000000001" customHeight="1"/>
    <row r="132" spans="1:7" ht="15.75">
      <c r="A132" s="247"/>
      <c r="B132" s="247"/>
      <c r="C132" s="247"/>
      <c r="D132" s="247"/>
      <c r="E132" s="247"/>
      <c r="F132" s="247"/>
      <c r="G132" s="247"/>
    </row>
    <row r="133" spans="1:7" ht="15.75">
      <c r="A133" s="247"/>
      <c r="B133" s="247"/>
      <c r="C133" s="247"/>
      <c r="D133" s="247"/>
      <c r="E133" s="247"/>
      <c r="F133" s="247"/>
      <c r="G133" s="247"/>
    </row>
    <row r="134" spans="1:7" ht="15.75">
      <c r="A134" s="247"/>
      <c r="B134" s="247"/>
      <c r="C134" s="247"/>
      <c r="D134" s="247"/>
      <c r="E134" s="247"/>
      <c r="F134" s="247"/>
      <c r="G134" s="247"/>
    </row>
    <row r="135" spans="1:7" ht="15.75">
      <c r="A135" s="247"/>
      <c r="B135" s="247"/>
      <c r="C135" s="247"/>
      <c r="D135" s="247"/>
      <c r="E135" s="247"/>
      <c r="F135" s="247"/>
      <c r="G135" s="247"/>
    </row>
    <row r="136" spans="1:7" ht="15.75">
      <c r="A136" s="247"/>
      <c r="B136" s="247"/>
      <c r="C136" s="247"/>
      <c r="D136" s="247"/>
      <c r="E136" s="247"/>
      <c r="F136" s="247"/>
      <c r="G136" s="247"/>
    </row>
    <row r="137" spans="1:7" ht="15.75">
      <c r="A137" s="247"/>
      <c r="B137" s="247"/>
      <c r="C137" s="247"/>
      <c r="D137" s="247"/>
      <c r="E137" s="247"/>
      <c r="F137" s="247"/>
      <c r="G137" s="247"/>
    </row>
    <row r="138" spans="1:7" ht="15.75">
      <c r="A138" s="247"/>
      <c r="B138" s="247"/>
      <c r="C138" s="247"/>
      <c r="D138" s="247"/>
      <c r="E138" s="247"/>
      <c r="F138" s="247"/>
      <c r="G138" s="247"/>
    </row>
    <row r="139" spans="1:7" ht="15.75">
      <c r="A139" s="247"/>
      <c r="B139" s="247"/>
      <c r="C139" s="247"/>
      <c r="D139" s="247"/>
      <c r="E139" s="247"/>
      <c r="F139" s="247"/>
      <c r="G139" s="247"/>
    </row>
    <row r="140" spans="1:7" ht="15.75">
      <c r="A140" s="247"/>
      <c r="B140" s="247"/>
      <c r="C140" s="247"/>
      <c r="D140" s="247"/>
      <c r="E140" s="247"/>
      <c r="F140" s="247"/>
      <c r="G140" s="247"/>
    </row>
    <row r="141" spans="1:7" ht="15.75">
      <c r="A141" s="247"/>
      <c r="B141" s="247"/>
      <c r="C141" s="247"/>
      <c r="D141" s="247"/>
      <c r="E141" s="247"/>
      <c r="F141" s="247"/>
      <c r="G141" s="247"/>
    </row>
    <row r="142" spans="1:7" ht="15.75">
      <c r="A142" s="247"/>
      <c r="B142" s="247"/>
      <c r="C142" s="247"/>
      <c r="D142" s="247"/>
      <c r="E142" s="247"/>
      <c r="F142" s="247"/>
      <c r="G142" s="247"/>
    </row>
    <row r="143" spans="1:7" ht="15.75">
      <c r="A143" s="247"/>
      <c r="B143" s="247"/>
      <c r="C143" s="247"/>
      <c r="D143" s="247"/>
      <c r="E143" s="247"/>
      <c r="F143" s="247"/>
      <c r="G143" s="247"/>
    </row>
    <row r="144" spans="1:7" ht="15.75">
      <c r="A144" s="247"/>
      <c r="B144" s="247"/>
      <c r="C144" s="247"/>
      <c r="D144" s="247"/>
      <c r="E144" s="247"/>
      <c r="F144" s="247"/>
      <c r="G144" s="247"/>
    </row>
    <row r="145" spans="1:7" ht="15.75">
      <c r="A145" s="247"/>
      <c r="B145" s="247"/>
      <c r="C145" s="247"/>
      <c r="D145" s="247"/>
      <c r="E145" s="247"/>
      <c r="F145" s="247"/>
      <c r="G145" s="247"/>
    </row>
    <row r="146" spans="1:7" ht="15.75">
      <c r="A146" s="247"/>
      <c r="B146" s="247"/>
      <c r="C146" s="247"/>
      <c r="D146" s="247"/>
      <c r="E146" s="247"/>
      <c r="F146" s="247"/>
      <c r="G146" s="247"/>
    </row>
    <row r="147" spans="1:7" ht="15.75">
      <c r="A147" s="247"/>
      <c r="B147" s="247"/>
      <c r="C147" s="247"/>
      <c r="D147" s="247"/>
      <c r="E147" s="247"/>
      <c r="F147" s="247"/>
      <c r="G147" s="247"/>
    </row>
    <row r="148" spans="1:7" ht="15.75">
      <c r="A148" s="247"/>
      <c r="B148" s="247"/>
      <c r="C148" s="247"/>
      <c r="D148" s="247"/>
      <c r="E148" s="247"/>
      <c r="F148" s="247"/>
      <c r="G148" s="247"/>
    </row>
    <row r="149" spans="1:7" ht="15.75">
      <c r="A149" s="247"/>
      <c r="B149" s="247"/>
      <c r="C149" s="247"/>
      <c r="D149" s="247"/>
      <c r="E149" s="247"/>
      <c r="F149" s="247"/>
      <c r="G149" s="247"/>
    </row>
    <row r="150" spans="1:7" ht="15.75">
      <c r="A150" s="247"/>
      <c r="B150" s="247"/>
      <c r="C150" s="247"/>
      <c r="D150" s="247"/>
      <c r="E150" s="247"/>
      <c r="F150" s="247"/>
      <c r="G150" s="247"/>
    </row>
    <row r="151" spans="1:7" ht="15.75">
      <c r="A151" s="247"/>
      <c r="B151" s="247"/>
      <c r="C151" s="247"/>
      <c r="D151" s="247"/>
      <c r="E151" s="247"/>
      <c r="F151" s="247"/>
      <c r="G151" s="247"/>
    </row>
    <row r="152" spans="1:7" ht="15.75">
      <c r="B152" s="247"/>
      <c r="C152" s="247"/>
      <c r="D152" s="247"/>
      <c r="E152" s="247"/>
      <c r="F152" s="247"/>
    </row>
  </sheetData>
  <sheetProtection sheet="1" objects="1" scenarios="1"/>
  <mergeCells count="68">
    <mergeCell ref="A1:G1"/>
    <mergeCell ref="A2:G2"/>
    <mergeCell ref="A3:G3"/>
    <mergeCell ref="B25:G25"/>
    <mergeCell ref="J26:K26"/>
    <mergeCell ref="B28:C28"/>
    <mergeCell ref="D28:E28"/>
    <mergeCell ref="B29:C29"/>
    <mergeCell ref="D29:E29"/>
    <mergeCell ref="B27:C27"/>
    <mergeCell ref="D27:E27"/>
    <mergeCell ref="B30:C30"/>
    <mergeCell ref="D30:E30"/>
    <mergeCell ref="B31:C31"/>
    <mergeCell ref="D31:E31"/>
    <mergeCell ref="B32:C32"/>
    <mergeCell ref="D32:E32"/>
    <mergeCell ref="B33:C33"/>
    <mergeCell ref="D33:E33"/>
    <mergeCell ref="B34:C34"/>
    <mergeCell ref="D34:E34"/>
    <mergeCell ref="B35:C35"/>
    <mergeCell ref="D35:E35"/>
    <mergeCell ref="B36:C36"/>
    <mergeCell ref="D36:E36"/>
    <mergeCell ref="B37:C37"/>
    <mergeCell ref="D37:E37"/>
    <mergeCell ref="B38:C38"/>
    <mergeCell ref="D38:E38"/>
    <mergeCell ref="B39:C39"/>
    <mergeCell ref="D39:E39"/>
    <mergeCell ref="B40:C40"/>
    <mergeCell ref="D40:E40"/>
    <mergeCell ref="B41:C41"/>
    <mergeCell ref="D41:E41"/>
    <mergeCell ref="B42:C42"/>
    <mergeCell ref="D42:E42"/>
    <mergeCell ref="D57:E57"/>
    <mergeCell ref="B48:C48"/>
    <mergeCell ref="D48:F48"/>
    <mergeCell ref="B49:C49"/>
    <mergeCell ref="D49:E49"/>
    <mergeCell ref="B50:C50"/>
    <mergeCell ref="D51:E51"/>
    <mergeCell ref="D52:E52"/>
    <mergeCell ref="D53:E53"/>
    <mergeCell ref="D54:E54"/>
    <mergeCell ref="D55:E55"/>
    <mergeCell ref="D56:E56"/>
    <mergeCell ref="F93:G93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C90:D90"/>
    <mergeCell ref="D109:E109"/>
    <mergeCell ref="D97:E97"/>
    <mergeCell ref="D99:E99"/>
    <mergeCell ref="D101:E101"/>
    <mergeCell ref="D103:E103"/>
    <mergeCell ref="D105:E105"/>
    <mergeCell ref="D107:E107"/>
  </mergeCells>
  <conditionalFormatting sqref="H104">
    <cfRule type="cellIs" dxfId="14" priority="3" stopIfTrue="1" operator="greaterThan">
      <formula>169*1.15</formula>
    </cfRule>
  </conditionalFormatting>
  <conditionalFormatting sqref="H108">
    <cfRule type="cellIs" dxfId="13" priority="4" stopIfTrue="1" operator="greaterThan">
      <formula>3.6*1.15</formula>
    </cfRule>
  </conditionalFormatting>
  <conditionalFormatting sqref="H106">
    <cfRule type="cellIs" dxfId="12" priority="5" stopIfTrue="1" operator="greaterThan">
      <formula>2.7*1.15</formula>
    </cfRule>
  </conditionalFormatting>
  <conditionalFormatting sqref="E104">
    <cfRule type="cellIs" dxfId="11" priority="6" stopIfTrue="1" operator="notBetween">
      <formula>59.37*1.15</formula>
      <formula>59.37*0.85</formula>
    </cfRule>
  </conditionalFormatting>
  <conditionalFormatting sqref="K104">
    <cfRule type="cellIs" dxfId="10" priority="7" stopIfTrue="1" operator="greaterThan">
      <formula>1.1*(169+3.5)</formula>
    </cfRule>
  </conditionalFormatting>
  <conditionalFormatting sqref="H78">
    <cfRule type="cellIs" dxfId="9" priority="8" stopIfTrue="1" operator="greaterThan">
      <formula>3.5*1.15</formula>
    </cfRule>
  </conditionalFormatting>
  <conditionalFormatting sqref="F28">
    <cfRule type="cellIs" dxfId="8" priority="9" stopIfTrue="1" operator="notBetween">
      <formula>$J$28</formula>
      <formula>$K$28</formula>
    </cfRule>
  </conditionalFormatting>
  <conditionalFormatting sqref="F30">
    <cfRule type="cellIs" dxfId="7" priority="10" stopIfTrue="1" operator="notBetween">
      <formula>$J$30</formula>
      <formula>$K$30</formula>
    </cfRule>
  </conditionalFormatting>
  <conditionalFormatting sqref="F32">
    <cfRule type="cellIs" dxfId="6" priority="11" stopIfTrue="1" operator="notBetween">
      <formula>$J$32</formula>
      <formula>$K$32</formula>
    </cfRule>
  </conditionalFormatting>
  <conditionalFormatting sqref="F34">
    <cfRule type="cellIs" dxfId="5" priority="12" stopIfTrue="1" operator="notBetween">
      <formula>$J$34</formula>
      <formula>$K$34</formula>
    </cfRule>
  </conditionalFormatting>
  <conditionalFormatting sqref="F36">
    <cfRule type="cellIs" dxfId="4" priority="13" stopIfTrue="1" operator="notBetween">
      <formula>$J$36</formula>
      <formula>$K$36</formula>
    </cfRule>
  </conditionalFormatting>
  <conditionalFormatting sqref="F38">
    <cfRule type="cellIs" dxfId="3" priority="14" stopIfTrue="1" operator="notBetween">
      <formula>$J$38</formula>
      <formula>$K$38</formula>
    </cfRule>
  </conditionalFormatting>
  <conditionalFormatting sqref="F40 F42">
    <cfRule type="cellIs" dxfId="2" priority="15" stopIfTrue="1" operator="notBetween">
      <formula>#REF!</formula>
      <formula>#REF!</formula>
    </cfRule>
  </conditionalFormatting>
  <conditionalFormatting sqref="H110">
    <cfRule type="cellIs" dxfId="1" priority="2" stopIfTrue="1" operator="greaterThan">
      <formula>16*1.15</formula>
    </cfRule>
  </conditionalFormatting>
  <conditionalFormatting sqref="H112">
    <cfRule type="cellIs" dxfId="0" priority="1" stopIfTrue="1" operator="greaterThan">
      <formula>16*1.15</formula>
    </cfRule>
  </conditionalFormatting>
  <printOptions horizontalCentered="1"/>
  <pageMargins left="0.51" right="0.11811023622047245" top="0.35433070866141736" bottom="0.47244094488188981" header="0.19685039370078741" footer="0.19685039370078741"/>
  <pageSetup paperSize="9" scale="89" orientation="portrait" blackAndWhite="1" horizontalDpi="4294967295" verticalDpi="4294967295" r:id="rId1"/>
  <headerFooter alignWithMargins="0">
    <oddFooter>&amp;L&amp;Z&amp;F&amp;RPage &amp;P of &amp;N</oddFooter>
  </headerFooter>
  <rowBreaks count="3" manualBreakCount="3">
    <brk id="22" max="16383" man="1"/>
    <brk id="67" max="16383" man="1"/>
    <brk id="115" max="16383" man="1"/>
  </rowBreaks>
  <colBreaks count="1" manualBreakCount="1">
    <brk id="8" max="111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3"/>
  <sheetViews>
    <sheetView zoomScaleSheetLayoutView="100" workbookViewId="0">
      <pane ySplit="4" topLeftCell="A5" activePane="bottomLeft" state="frozen"/>
      <selection activeCell="J71" sqref="J71"/>
      <selection pane="bottomLeft" activeCell="J71" sqref="J71"/>
    </sheetView>
  </sheetViews>
  <sheetFormatPr defaultRowHeight="12.75"/>
  <cols>
    <col min="1" max="1" width="11.42578125" style="134" customWidth="1"/>
    <col min="2" max="2" width="10.28515625" style="134" customWidth="1"/>
    <col min="3" max="3" width="15.5703125" style="134" customWidth="1"/>
    <col min="4" max="4" width="12.140625" style="134" customWidth="1"/>
    <col min="5" max="5" width="13.5703125" style="134" customWidth="1"/>
    <col min="6" max="6" width="15.28515625" style="134" customWidth="1"/>
    <col min="7" max="7" width="10.7109375" style="134" customWidth="1"/>
    <col min="8" max="16384" width="9.140625" style="134"/>
  </cols>
  <sheetData>
    <row r="1" spans="1:7" ht="21" customHeight="1">
      <c r="A1" s="325" t="s">
        <v>172</v>
      </c>
      <c r="B1" s="325"/>
      <c r="C1" s="325"/>
      <c r="D1" s="325"/>
      <c r="E1" s="325"/>
      <c r="F1" s="325"/>
      <c r="G1" s="325"/>
    </row>
    <row r="2" spans="1:7" ht="21" customHeight="1">
      <c r="A2" s="325" t="s">
        <v>173</v>
      </c>
      <c r="B2" s="325"/>
      <c r="C2" s="325"/>
      <c r="D2" s="325"/>
      <c r="E2" s="325"/>
      <c r="F2" s="325"/>
      <c r="G2" s="325"/>
    </row>
    <row r="3" spans="1:7" ht="22.5" customHeight="1">
      <c r="A3" s="325" t="s">
        <v>174</v>
      </c>
      <c r="B3" s="325"/>
      <c r="C3" s="325"/>
      <c r="D3" s="325"/>
      <c r="E3" s="325"/>
      <c r="F3" s="325"/>
      <c r="G3" s="325"/>
    </row>
    <row r="4" spans="1:7" s="171" customFormat="1" ht="33.950000000000003" customHeight="1">
      <c r="A4" s="248" t="s">
        <v>175</v>
      </c>
      <c r="B4" s="249" t="str">
        <f>input!B1</f>
        <v>72163A18700</v>
      </c>
      <c r="C4" s="249"/>
      <c r="D4" s="248" t="s">
        <v>176</v>
      </c>
      <c r="E4" s="248">
        <f>input!C3</f>
        <v>2046987</v>
      </c>
      <c r="F4" s="250" t="s">
        <v>113</v>
      </c>
      <c r="G4" s="251">
        <f>+input!D3</f>
        <v>496</v>
      </c>
    </row>
    <row r="5" spans="1:7" s="171" customFormat="1" ht="33.950000000000003" customHeight="1"/>
    <row r="6" spans="1:7" s="171" customFormat="1" ht="33.950000000000003" customHeight="1">
      <c r="A6" s="180">
        <v>1</v>
      </c>
      <c r="B6" s="181" t="s">
        <v>175</v>
      </c>
      <c r="C6" s="208" t="str">
        <f>B4</f>
        <v>72163A18700</v>
      </c>
      <c r="D6" s="181"/>
      <c r="E6" s="208"/>
      <c r="F6" s="181" t="s">
        <v>177</v>
      </c>
      <c r="G6" s="208">
        <v>625669</v>
      </c>
    </row>
    <row r="7" spans="1:7" s="171" customFormat="1" ht="33.950000000000003" customHeight="1">
      <c r="A7" s="180">
        <v>2</v>
      </c>
      <c r="B7" s="181" t="s">
        <v>287</v>
      </c>
      <c r="D7" s="171" t="s">
        <v>288</v>
      </c>
    </row>
    <row r="8" spans="1:7" s="171" customFormat="1" ht="33.950000000000003" customHeight="1">
      <c r="A8" s="180">
        <v>3</v>
      </c>
      <c r="B8" s="181" t="s">
        <v>184</v>
      </c>
      <c r="C8" s="208"/>
      <c r="D8" s="171" t="s">
        <v>289</v>
      </c>
      <c r="F8" s="181"/>
    </row>
    <row r="9" spans="1:7" s="171" customFormat="1" ht="33.950000000000003" customHeight="1">
      <c r="A9" s="180">
        <v>4</v>
      </c>
      <c r="B9" s="181" t="s">
        <v>186</v>
      </c>
      <c r="D9" s="171" t="s">
        <v>290</v>
      </c>
    </row>
    <row r="10" spans="1:7" s="171" customFormat="1" ht="33.950000000000003" customHeight="1">
      <c r="A10" s="180">
        <v>5</v>
      </c>
      <c r="B10" s="181" t="s">
        <v>291</v>
      </c>
      <c r="D10" s="171" t="s">
        <v>292</v>
      </c>
      <c r="F10" s="189"/>
    </row>
    <row r="11" spans="1:7" s="171" customFormat="1" ht="33.950000000000003" customHeight="1">
      <c r="A11" s="180">
        <v>6</v>
      </c>
      <c r="B11" s="181" t="s">
        <v>293</v>
      </c>
      <c r="D11" s="171" t="s">
        <v>294</v>
      </c>
    </row>
    <row r="12" spans="1:7" s="171" customFormat="1" ht="33.950000000000003" customHeight="1">
      <c r="A12" s="180">
        <v>7</v>
      </c>
      <c r="B12" s="181" t="s">
        <v>182</v>
      </c>
      <c r="D12" s="171" t="s">
        <v>295</v>
      </c>
    </row>
    <row r="13" spans="1:7" s="171" customFormat="1" ht="33.950000000000003" customHeight="1">
      <c r="A13" s="180">
        <v>8</v>
      </c>
      <c r="B13" s="181" t="s">
        <v>198</v>
      </c>
      <c r="D13" s="252" t="str">
        <f>tr!D15</f>
        <v>M/s. DMW</v>
      </c>
    </row>
    <row r="14" spans="1:7" s="171" customFormat="1" ht="33.950000000000003" customHeight="1">
      <c r="A14" s="180">
        <v>9</v>
      </c>
      <c r="B14" s="181" t="s">
        <v>296</v>
      </c>
      <c r="D14" s="171" t="str">
        <f>tr!D16</f>
        <v>Sh. S K Saxena, RDSO Inspection cell</v>
      </c>
    </row>
    <row r="15" spans="1:7" s="171" customFormat="1" ht="33.950000000000003" customHeight="1">
      <c r="A15" s="180">
        <v>10</v>
      </c>
      <c r="B15" s="181" t="s">
        <v>205</v>
      </c>
      <c r="D15" s="252">
        <f>input!C6</f>
        <v>43483</v>
      </c>
    </row>
    <row r="16" spans="1:7" s="171" customFormat="1" ht="33.950000000000003" customHeight="1">
      <c r="A16" s="180"/>
      <c r="B16" s="181"/>
      <c r="D16" s="252"/>
    </row>
    <row r="17" spans="1:7" s="171" customFormat="1" ht="33.950000000000003" customHeight="1">
      <c r="A17" s="180"/>
      <c r="B17" s="181"/>
      <c r="D17" s="252"/>
    </row>
    <row r="18" spans="1:7" s="171" customFormat="1" ht="33.950000000000003" customHeight="1">
      <c r="B18" s="228" t="s">
        <v>202</v>
      </c>
      <c r="D18" s="228" t="s">
        <v>203</v>
      </c>
      <c r="F18" s="181" t="s">
        <v>204</v>
      </c>
    </row>
    <row r="19" spans="1:7" s="171" customFormat="1" ht="33.950000000000003" customHeight="1">
      <c r="B19" s="228" t="s">
        <v>205</v>
      </c>
      <c r="D19" s="228" t="s">
        <v>205</v>
      </c>
      <c r="F19" s="181" t="s">
        <v>205</v>
      </c>
    </row>
    <row r="20" spans="1:7" s="171" customFormat="1" ht="20.100000000000001" customHeight="1"/>
    <row r="21" spans="1:7" s="171" customFormat="1" ht="20.100000000000001" customHeight="1">
      <c r="A21" s="180">
        <v>1</v>
      </c>
      <c r="B21" s="181" t="s">
        <v>297</v>
      </c>
    </row>
    <row r="22" spans="1:7" s="171" customFormat="1" ht="20.100000000000001" customHeight="1"/>
    <row r="23" spans="1:7" s="171" customFormat="1" ht="20.100000000000001" customHeight="1">
      <c r="B23" s="313" t="s">
        <v>298</v>
      </c>
      <c r="C23" s="313"/>
      <c r="D23" s="253" t="s">
        <v>215</v>
      </c>
      <c r="E23" s="253"/>
      <c r="F23" s="150" t="s">
        <v>299</v>
      </c>
      <c r="G23" s="150"/>
    </row>
    <row r="24" spans="1:7" s="171" customFormat="1" ht="20.100000000000001" customHeight="1" thickBot="1">
      <c r="B24" s="315"/>
      <c r="C24" s="333"/>
      <c r="D24" s="254" t="s">
        <v>300</v>
      </c>
      <c r="E24" s="255">
        <f>input!E19</f>
        <v>18</v>
      </c>
      <c r="F24" s="334"/>
      <c r="G24" s="335"/>
    </row>
    <row r="25" spans="1:7" s="171" customFormat="1" ht="20.100000000000001" customHeight="1">
      <c r="B25" s="328" t="s">
        <v>29</v>
      </c>
      <c r="C25" s="328"/>
      <c r="D25" s="316">
        <f>input!C30</f>
        <v>2.6819999999999999</v>
      </c>
      <c r="E25" s="316"/>
      <c r="F25" s="329">
        <f>310*D25/(235+E24)</f>
        <v>3.2862450592885373</v>
      </c>
      <c r="G25" s="329"/>
    </row>
    <row r="26" spans="1:7" s="171" customFormat="1" ht="20.100000000000001" customHeight="1">
      <c r="B26" s="330" t="s">
        <v>32</v>
      </c>
      <c r="C26" s="330"/>
      <c r="D26" s="303">
        <f>input!C31</f>
        <v>2.5270000000000001</v>
      </c>
      <c r="E26" s="303"/>
      <c r="F26" s="331">
        <f>310*D26/(235+E24)</f>
        <v>3.0963241106719366</v>
      </c>
      <c r="G26" s="331"/>
    </row>
    <row r="27" spans="1:7" s="171" customFormat="1" ht="20.100000000000001" customHeight="1">
      <c r="B27" s="330"/>
      <c r="C27" s="330"/>
      <c r="D27" s="306"/>
      <c r="E27" s="307"/>
      <c r="F27" s="306"/>
      <c r="G27" s="307"/>
    </row>
    <row r="28" spans="1:7" s="171" customFormat="1" ht="20.100000000000001" customHeight="1">
      <c r="B28" s="332"/>
      <c r="C28" s="332"/>
    </row>
    <row r="29" spans="1:7" s="171" customFormat="1" ht="20.100000000000001" customHeight="1">
      <c r="A29" s="180">
        <v>2</v>
      </c>
      <c r="B29" s="228" t="s">
        <v>301</v>
      </c>
      <c r="C29" s="228"/>
    </row>
    <row r="30" spans="1:7" s="171" customFormat="1" ht="20.100000000000001" customHeight="1"/>
    <row r="31" spans="1:7" s="171" customFormat="1" ht="20.100000000000001" customHeight="1">
      <c r="B31" s="157" t="s">
        <v>302</v>
      </c>
      <c r="C31" s="157" t="s">
        <v>155</v>
      </c>
      <c r="D31" s="313" t="s">
        <v>155</v>
      </c>
      <c r="E31" s="313"/>
      <c r="F31" s="157" t="s">
        <v>303</v>
      </c>
    </row>
    <row r="32" spans="1:7" s="171" customFormat="1" ht="20.100000000000001" customHeight="1">
      <c r="B32" s="157" t="s">
        <v>170</v>
      </c>
      <c r="C32" s="157" t="s">
        <v>229</v>
      </c>
      <c r="D32" s="313" t="s">
        <v>145</v>
      </c>
      <c r="E32" s="313"/>
      <c r="F32" s="157" t="s">
        <v>304</v>
      </c>
    </row>
    <row r="33" spans="1:6" s="171" customFormat="1" ht="20.100000000000001" customHeight="1" thickBot="1">
      <c r="B33" s="256"/>
      <c r="C33" s="191" t="s">
        <v>305</v>
      </c>
      <c r="D33" s="315" t="s">
        <v>256</v>
      </c>
      <c r="E33" s="315"/>
      <c r="F33" s="256"/>
    </row>
    <row r="34" spans="1:6" s="171" customFormat="1" ht="20.100000000000001" customHeight="1">
      <c r="B34" s="194" t="s">
        <v>29</v>
      </c>
      <c r="C34" s="194">
        <f>input!C79*input!C78</f>
        <v>53.6</v>
      </c>
      <c r="D34" s="320">
        <f>input!B79*input!B78</f>
        <v>300</v>
      </c>
      <c r="E34" s="319"/>
      <c r="F34" s="217">
        <f>C34*1000/D34/2/PI()/50</f>
        <v>0.56871366331503936</v>
      </c>
    </row>
    <row r="35" spans="1:6" s="171" customFormat="1" ht="20.100000000000001" customHeight="1">
      <c r="B35" s="199"/>
      <c r="C35" s="199"/>
      <c r="D35" s="306"/>
      <c r="E35" s="307"/>
      <c r="F35" s="222"/>
    </row>
    <row r="36" spans="1:6" s="171" customFormat="1" ht="20.100000000000001" customHeight="1">
      <c r="B36" s="199" t="s">
        <v>32</v>
      </c>
      <c r="C36" s="199">
        <f>input!C80*input!C78</f>
        <v>53</v>
      </c>
      <c r="D36" s="306">
        <f>input!B80*input!B78</f>
        <v>300</v>
      </c>
      <c r="E36" s="307"/>
      <c r="F36" s="217">
        <f>C36*1000/D36/2/PI()/50</f>
        <v>0.5623474655913635</v>
      </c>
    </row>
    <row r="37" spans="1:6" s="171" customFormat="1" ht="20.100000000000001" customHeight="1">
      <c r="B37" s="199"/>
      <c r="C37" s="199"/>
      <c r="D37" s="306"/>
      <c r="E37" s="307"/>
      <c r="F37" s="199"/>
    </row>
    <row r="38" spans="1:6" s="171" customFormat="1" ht="20.100000000000001" customHeight="1"/>
    <row r="39" spans="1:6" s="171" customFormat="1" ht="20.100000000000001" customHeight="1">
      <c r="B39" s="171" t="s">
        <v>306</v>
      </c>
    </row>
    <row r="40" spans="1:6" s="171" customFormat="1" ht="20.100000000000001" customHeight="1"/>
    <row r="41" spans="1:6" s="171" customFormat="1" ht="20.100000000000001" customHeight="1">
      <c r="A41" s="180">
        <v>3</v>
      </c>
      <c r="B41" s="181" t="s">
        <v>307</v>
      </c>
      <c r="D41" s="229">
        <f>input!C45</f>
        <v>10</v>
      </c>
      <c r="E41" s="171" t="s">
        <v>308</v>
      </c>
    </row>
    <row r="42" spans="1:6" s="171" customFormat="1" ht="20.100000000000001" customHeight="1">
      <c r="B42" s="181" t="s">
        <v>309</v>
      </c>
    </row>
    <row r="43" spans="1:6" s="171" customFormat="1" ht="20.100000000000001" customHeight="1">
      <c r="D43" s="171" t="s">
        <v>310</v>
      </c>
    </row>
    <row r="44" spans="1:6" s="171" customFormat="1" ht="14.25"/>
    <row r="45" spans="1:6" s="171" customFormat="1" ht="14.25"/>
    <row r="46" spans="1:6" s="171" customFormat="1" ht="14.25"/>
    <row r="47" spans="1:6" s="171" customFormat="1" ht="14.25"/>
    <row r="48" spans="1:6" s="171" customFormat="1" ht="14.25"/>
    <row r="49" s="171" customFormat="1" ht="14.25"/>
    <row r="50" s="171" customFormat="1" ht="14.25"/>
    <row r="51" s="171" customFormat="1" ht="14.25"/>
    <row r="52" s="171" customFormat="1" ht="14.25"/>
    <row r="53" s="171" customFormat="1" ht="14.25"/>
    <row r="54" s="171" customFormat="1" ht="14.25"/>
    <row r="55" s="171" customFormat="1" ht="14.25"/>
    <row r="56" s="247" customFormat="1" ht="15.75"/>
    <row r="57" s="247" customFormat="1" ht="15.75"/>
    <row r="58" s="247" customFormat="1" ht="15.75"/>
    <row r="59" s="247" customFormat="1" ht="15.75"/>
    <row r="60" s="247" customFormat="1" ht="15.75"/>
    <row r="61" s="247" customFormat="1" ht="15.75"/>
    <row r="62" s="247" customFormat="1" ht="15.75"/>
    <row r="63" s="247" customFormat="1" ht="15.75"/>
  </sheetData>
  <sheetProtection algorithmName="SHA-512" hashValue="qXpNkNRi57yGrn66I1wItHp4jP5HV+FvCY2FmEg9GOURrie+CqRrjSd2ULfgCb8x/4kRGVHz8mw+T3PH4C+6Fw==" saltValue="WX+I0QQbvnKODVXisuE75w==" spinCount="100000" sheet="1" objects="1" scenarios="1"/>
  <mergeCells count="23">
    <mergeCell ref="A1:G1"/>
    <mergeCell ref="A2:G2"/>
    <mergeCell ref="A3:G3"/>
    <mergeCell ref="B23:C23"/>
    <mergeCell ref="B24:C24"/>
    <mergeCell ref="F24:G24"/>
    <mergeCell ref="D32:E32"/>
    <mergeCell ref="B25:C25"/>
    <mergeCell ref="D25:E25"/>
    <mergeCell ref="F25:G25"/>
    <mergeCell ref="B26:C26"/>
    <mergeCell ref="D26:E26"/>
    <mergeCell ref="F26:G26"/>
    <mergeCell ref="B27:C27"/>
    <mergeCell ref="D27:E27"/>
    <mergeCell ref="F27:G27"/>
    <mergeCell ref="B28:C28"/>
    <mergeCell ref="D31:E31"/>
    <mergeCell ref="D33:E33"/>
    <mergeCell ref="D34:E34"/>
    <mergeCell ref="D35:E35"/>
    <mergeCell ref="D36:E36"/>
    <mergeCell ref="D37:E37"/>
  </mergeCells>
  <printOptions horizontalCentered="1"/>
  <pageMargins left="0.68" right="0.15748031496062992" top="0.39370078740157483" bottom="0.39370078740157483" header="0.19685039370078741" footer="0.31496062992125984"/>
  <pageSetup paperSize="9" orientation="portrait" blackAndWhite="1" horizontalDpi="4294967295" verticalDpi="4294967295" r:id="rId1"/>
  <headerFooter alignWithMargins="0">
    <oddFooter>&amp;L&amp;F&amp;RPage &amp;P of &amp;N</oddFooter>
  </headerFooter>
  <rowBreaks count="1" manualBreakCount="1">
    <brk id="19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75"/>
  <sheetViews>
    <sheetView view="pageBreakPreview" topLeftCell="A22" zoomScaleSheetLayoutView="100" workbookViewId="0">
      <selection activeCell="J71" sqref="J71"/>
    </sheetView>
  </sheetViews>
  <sheetFormatPr defaultRowHeight="12.75"/>
  <cols>
    <col min="1" max="1" width="11.42578125" style="134" customWidth="1"/>
    <col min="2" max="2" width="12.140625" style="134" customWidth="1"/>
    <col min="3" max="3" width="17" style="134" customWidth="1"/>
    <col min="4" max="4" width="12.140625" style="134" customWidth="1"/>
    <col min="5" max="5" width="13.5703125" style="134" customWidth="1"/>
    <col min="6" max="6" width="15.28515625" style="134" customWidth="1"/>
    <col min="7" max="7" width="10.7109375" style="134" customWidth="1"/>
    <col min="8" max="8" width="10.28515625" style="134" customWidth="1"/>
    <col min="9" max="16384" width="9.140625" style="134"/>
  </cols>
  <sheetData>
    <row r="1" spans="1:8" ht="21" customHeight="1">
      <c r="A1" s="325" t="s">
        <v>172</v>
      </c>
      <c r="B1" s="325"/>
      <c r="C1" s="325"/>
      <c r="D1" s="325"/>
      <c r="E1" s="325"/>
      <c r="F1" s="325"/>
      <c r="G1" s="325"/>
    </row>
    <row r="2" spans="1:8" ht="21" customHeight="1">
      <c r="A2" s="325" t="s">
        <v>173</v>
      </c>
      <c r="B2" s="325"/>
      <c r="C2" s="325"/>
      <c r="D2" s="325"/>
      <c r="E2" s="325"/>
      <c r="F2" s="325"/>
      <c r="G2" s="325"/>
    </row>
    <row r="3" spans="1:8" ht="22.5" customHeight="1">
      <c r="A3" s="325" t="s">
        <v>174</v>
      </c>
      <c r="B3" s="325"/>
      <c r="C3" s="325"/>
      <c r="D3" s="325"/>
      <c r="E3" s="325"/>
      <c r="F3" s="325"/>
      <c r="G3" s="325"/>
    </row>
    <row r="4" spans="1:8" s="171" customFormat="1" ht="33.950000000000003" customHeight="1">
      <c r="A4" s="248" t="s">
        <v>175</v>
      </c>
      <c r="B4" s="249" t="str">
        <f>input!B1</f>
        <v>72163A18700</v>
      </c>
      <c r="C4" s="249"/>
      <c r="D4" s="248" t="s">
        <v>176</v>
      </c>
      <c r="E4" s="248">
        <f>input!C4</f>
        <v>2047031</v>
      </c>
      <c r="F4" s="250" t="s">
        <v>113</v>
      </c>
      <c r="G4" s="251">
        <f>+input!D4</f>
        <v>496</v>
      </c>
      <c r="H4" s="257"/>
    </row>
    <row r="5" spans="1:8" s="171" customFormat="1" ht="33.950000000000003" customHeight="1"/>
    <row r="6" spans="1:8" s="171" customFormat="1" ht="33.950000000000003" customHeight="1">
      <c r="A6" s="180">
        <v>1</v>
      </c>
      <c r="B6" s="181" t="s">
        <v>175</v>
      </c>
      <c r="C6" s="208" t="str">
        <f>B4</f>
        <v>72163A18700</v>
      </c>
      <c r="D6" s="181"/>
      <c r="E6" s="208"/>
      <c r="F6" s="181" t="s">
        <v>177</v>
      </c>
      <c r="G6" s="208">
        <v>625670</v>
      </c>
    </row>
    <row r="7" spans="1:8" s="171" customFormat="1" ht="33.950000000000003" customHeight="1">
      <c r="A7" s="180">
        <v>2</v>
      </c>
      <c r="B7" s="181" t="s">
        <v>287</v>
      </c>
      <c r="D7" s="171" t="s">
        <v>311</v>
      </c>
    </row>
    <row r="8" spans="1:8" s="171" customFormat="1" ht="33.950000000000003" customHeight="1">
      <c r="A8" s="180">
        <v>3</v>
      </c>
      <c r="B8" s="181" t="s">
        <v>184</v>
      </c>
      <c r="C8" s="208"/>
      <c r="D8" s="171" t="s">
        <v>289</v>
      </c>
      <c r="F8" s="181"/>
    </row>
    <row r="9" spans="1:8" s="171" customFormat="1" ht="33.950000000000003" customHeight="1">
      <c r="A9" s="180">
        <v>4</v>
      </c>
      <c r="B9" s="181" t="s">
        <v>186</v>
      </c>
      <c r="D9" s="171" t="s">
        <v>312</v>
      </c>
    </row>
    <row r="10" spans="1:8" s="171" customFormat="1" ht="33.950000000000003" customHeight="1">
      <c r="A10" s="180">
        <v>5</v>
      </c>
      <c r="B10" s="181" t="s">
        <v>291</v>
      </c>
      <c r="D10" s="171" t="s">
        <v>313</v>
      </c>
      <c r="F10" s="189"/>
    </row>
    <row r="11" spans="1:8" s="171" customFormat="1" ht="33.950000000000003" customHeight="1">
      <c r="A11" s="180">
        <v>6</v>
      </c>
      <c r="B11" s="181" t="s">
        <v>293</v>
      </c>
      <c r="D11" s="171" t="s">
        <v>314</v>
      </c>
    </row>
    <row r="12" spans="1:8" s="171" customFormat="1" ht="33.950000000000003" customHeight="1">
      <c r="A12" s="180">
        <v>7</v>
      </c>
      <c r="B12" s="181" t="s">
        <v>182</v>
      </c>
      <c r="D12" s="171" t="s">
        <v>295</v>
      </c>
    </row>
    <row r="13" spans="1:8" s="171" customFormat="1" ht="33.950000000000003" customHeight="1">
      <c r="A13" s="180">
        <v>8</v>
      </c>
      <c r="B13" s="181" t="s">
        <v>198</v>
      </c>
      <c r="D13" s="252" t="str">
        <f>tr!D15</f>
        <v>M/s. DMW</v>
      </c>
    </row>
    <row r="14" spans="1:8" s="171" customFormat="1" ht="33.950000000000003" customHeight="1">
      <c r="A14" s="180">
        <v>9</v>
      </c>
      <c r="B14" s="181" t="s">
        <v>296</v>
      </c>
      <c r="D14" s="171" t="str">
        <f>tr!D16</f>
        <v>Sh. S K Saxena, RDSO Inspection cell</v>
      </c>
    </row>
    <row r="15" spans="1:8" s="171" customFormat="1" ht="33.950000000000003" customHeight="1">
      <c r="A15" s="180">
        <v>10</v>
      </c>
      <c r="B15" s="181" t="s">
        <v>205</v>
      </c>
      <c r="D15" s="252">
        <f>input!C6</f>
        <v>43483</v>
      </c>
    </row>
    <row r="16" spans="1:8" s="171" customFormat="1" ht="33.950000000000003" customHeight="1">
      <c r="A16" s="180"/>
      <c r="B16" s="181"/>
      <c r="D16" s="252"/>
    </row>
    <row r="17" spans="1:7" s="171" customFormat="1" ht="33.950000000000003" customHeight="1">
      <c r="A17" s="180"/>
      <c r="B17" s="181"/>
      <c r="D17" s="252"/>
    </row>
    <row r="18" spans="1:7" s="171" customFormat="1" ht="33.950000000000003" customHeight="1">
      <c r="B18" s="228" t="s">
        <v>202</v>
      </c>
      <c r="D18" s="228" t="s">
        <v>203</v>
      </c>
      <c r="F18" s="181" t="s">
        <v>204</v>
      </c>
    </row>
    <row r="19" spans="1:7" s="171" customFormat="1" ht="33.950000000000003" customHeight="1">
      <c r="B19" s="228" t="s">
        <v>205</v>
      </c>
      <c r="D19" s="228" t="s">
        <v>205</v>
      </c>
      <c r="F19" s="181" t="s">
        <v>205</v>
      </c>
    </row>
    <row r="20" spans="1:7" s="171" customFormat="1" ht="12.75" customHeight="1"/>
    <row r="21" spans="1:7" s="171" customFormat="1" ht="20.100000000000001" customHeight="1">
      <c r="A21" s="180">
        <v>1</v>
      </c>
      <c r="B21" s="181" t="s">
        <v>297</v>
      </c>
    </row>
    <row r="22" spans="1:7" s="171" customFormat="1" ht="20.100000000000001" customHeight="1"/>
    <row r="23" spans="1:7" s="171" customFormat="1" ht="20.100000000000001" customHeight="1">
      <c r="B23" s="313" t="s">
        <v>298</v>
      </c>
      <c r="C23" s="313"/>
      <c r="D23" s="253" t="s">
        <v>215</v>
      </c>
      <c r="E23" s="253"/>
      <c r="F23" s="150" t="s">
        <v>299</v>
      </c>
      <c r="G23" s="150"/>
    </row>
    <row r="24" spans="1:7" s="171" customFormat="1" ht="20.100000000000001" customHeight="1" thickBot="1">
      <c r="B24" s="315"/>
      <c r="C24" s="333"/>
      <c r="D24" s="254" t="s">
        <v>300</v>
      </c>
      <c r="E24" s="255">
        <f>input!E19</f>
        <v>18</v>
      </c>
      <c r="F24" s="334"/>
      <c r="G24" s="335"/>
    </row>
    <row r="25" spans="1:7" s="171" customFormat="1" ht="14.25" customHeight="1">
      <c r="B25" s="328"/>
      <c r="C25" s="328"/>
      <c r="D25" s="316"/>
      <c r="E25" s="316"/>
      <c r="F25" s="329"/>
      <c r="G25" s="329"/>
    </row>
    <row r="26" spans="1:7" s="171" customFormat="1" ht="20.100000000000001" customHeight="1">
      <c r="B26" s="328" t="s">
        <v>34</v>
      </c>
      <c r="C26" s="328"/>
      <c r="D26" s="316">
        <f>input!C33</f>
        <v>46.57</v>
      </c>
      <c r="E26" s="316"/>
      <c r="F26" s="329">
        <f>310*D26/(235+E$24)</f>
        <v>57.062055335968381</v>
      </c>
      <c r="G26" s="329"/>
    </row>
    <row r="27" spans="1:7" s="171" customFormat="1" ht="14.25" customHeight="1">
      <c r="B27" s="328"/>
      <c r="C27" s="328"/>
      <c r="D27" s="316"/>
      <c r="E27" s="316"/>
      <c r="F27" s="329"/>
      <c r="G27" s="329"/>
    </row>
    <row r="28" spans="1:7" s="171" customFormat="1" ht="20.100000000000001" customHeight="1">
      <c r="B28" s="328" t="s">
        <v>36</v>
      </c>
      <c r="C28" s="328"/>
      <c r="D28" s="316">
        <f>input!C34</f>
        <v>46.36</v>
      </c>
      <c r="E28" s="316"/>
      <c r="F28" s="329">
        <f>310*D28/(235+E$24)</f>
        <v>56.804743083003956</v>
      </c>
      <c r="G28" s="329"/>
    </row>
    <row r="29" spans="1:7" s="171" customFormat="1" ht="14.25" customHeight="1">
      <c r="B29" s="328"/>
      <c r="C29" s="328"/>
      <c r="D29" s="316"/>
      <c r="E29" s="316"/>
      <c r="F29" s="329"/>
      <c r="G29" s="329"/>
    </row>
    <row r="30" spans="1:7" s="171" customFormat="1" ht="20.100000000000001" customHeight="1">
      <c r="B30" s="328" t="s">
        <v>38</v>
      </c>
      <c r="C30" s="328"/>
      <c r="D30" s="316">
        <f>input!C35</f>
        <v>46.17</v>
      </c>
      <c r="E30" s="316"/>
      <c r="F30" s="329">
        <f>310*D30/(235+E$24)</f>
        <v>56.571936758893287</v>
      </c>
      <c r="G30" s="329"/>
    </row>
    <row r="31" spans="1:7" s="171" customFormat="1" ht="14.25" customHeight="1">
      <c r="B31" s="328"/>
      <c r="C31" s="328"/>
      <c r="D31" s="316"/>
      <c r="E31" s="316"/>
      <c r="F31" s="329"/>
      <c r="G31" s="329"/>
    </row>
    <row r="32" spans="1:7" s="171" customFormat="1" ht="20.100000000000001" customHeight="1">
      <c r="B32" s="328" t="s">
        <v>40</v>
      </c>
      <c r="C32" s="328"/>
      <c r="D32" s="316">
        <f>input!C36</f>
        <v>46.27</v>
      </c>
      <c r="E32" s="316"/>
      <c r="F32" s="329">
        <f>310*D32/(235+E$24)</f>
        <v>56.69446640316206</v>
      </c>
      <c r="G32" s="329"/>
    </row>
    <row r="33" spans="1:8" s="171" customFormat="1" ht="14.25" customHeight="1">
      <c r="B33" s="328"/>
      <c r="C33" s="328"/>
      <c r="D33" s="316"/>
      <c r="E33" s="316"/>
      <c r="F33" s="329"/>
      <c r="G33" s="329"/>
    </row>
    <row r="34" spans="1:8" s="171" customFormat="1" ht="20.100000000000001" customHeight="1">
      <c r="B34" s="328" t="s">
        <v>42</v>
      </c>
      <c r="C34" s="328"/>
      <c r="D34" s="316">
        <f>input!C37</f>
        <v>45.86</v>
      </c>
      <c r="E34" s="316"/>
      <c r="F34" s="329">
        <f>310*D34/(235+E$24)</f>
        <v>56.192094861660081</v>
      </c>
      <c r="G34" s="329"/>
    </row>
    <row r="35" spans="1:8" s="171" customFormat="1" ht="14.25" customHeight="1">
      <c r="B35" s="328"/>
      <c r="C35" s="328"/>
      <c r="D35" s="316"/>
      <c r="E35" s="316"/>
      <c r="F35" s="329"/>
      <c r="G35" s="329"/>
    </row>
    <row r="36" spans="1:8" s="171" customFormat="1" ht="20.100000000000001" customHeight="1">
      <c r="B36" s="328" t="s">
        <v>44</v>
      </c>
      <c r="C36" s="328"/>
      <c r="D36" s="316">
        <f>input!C38</f>
        <v>45.72</v>
      </c>
      <c r="E36" s="316"/>
      <c r="F36" s="329">
        <f>310*D36/(235+E$24)</f>
        <v>56.020553359683788</v>
      </c>
      <c r="G36" s="329"/>
    </row>
    <row r="37" spans="1:8" s="171" customFormat="1" ht="14.25" customHeight="1">
      <c r="B37" s="328"/>
      <c r="C37" s="328"/>
      <c r="D37" s="316"/>
      <c r="E37" s="316"/>
      <c r="F37" s="329"/>
      <c r="G37" s="329"/>
    </row>
    <row r="38" spans="1:8" s="171" customFormat="1" ht="20.100000000000001" customHeight="1">
      <c r="B38" s="332"/>
      <c r="C38" s="332"/>
    </row>
    <row r="39" spans="1:8" s="171" customFormat="1" ht="20.100000000000001" customHeight="1">
      <c r="A39" s="180">
        <v>2</v>
      </c>
      <c r="B39" s="228" t="s">
        <v>315</v>
      </c>
      <c r="C39" s="228"/>
    </row>
    <row r="40" spans="1:8" s="171" customFormat="1" ht="20.100000000000001" customHeight="1"/>
    <row r="41" spans="1:8" s="171" customFormat="1" ht="20.100000000000001" customHeight="1">
      <c r="B41" s="157" t="s">
        <v>302</v>
      </c>
      <c r="C41" s="157" t="s">
        <v>170</v>
      </c>
      <c r="D41" s="313" t="s">
        <v>155</v>
      </c>
      <c r="E41" s="313"/>
      <c r="F41" s="157" t="s">
        <v>155</v>
      </c>
      <c r="G41" s="336" t="s">
        <v>316</v>
      </c>
      <c r="H41" s="337"/>
    </row>
    <row r="42" spans="1:8" s="171" customFormat="1" ht="20.100000000000001" customHeight="1">
      <c r="B42" s="157"/>
      <c r="C42" s="157"/>
      <c r="D42" s="313" t="s">
        <v>229</v>
      </c>
      <c r="E42" s="313"/>
      <c r="F42" s="157" t="s">
        <v>145</v>
      </c>
      <c r="G42" s="150" t="s">
        <v>317</v>
      </c>
      <c r="H42" s="150" t="s">
        <v>318</v>
      </c>
    </row>
    <row r="43" spans="1:8" s="171" customFormat="1" ht="20.100000000000001" customHeight="1" thickBot="1">
      <c r="B43" s="256"/>
      <c r="C43" s="191"/>
      <c r="D43" s="315" t="s">
        <v>305</v>
      </c>
      <c r="E43" s="315"/>
      <c r="F43" s="191" t="s">
        <v>256</v>
      </c>
      <c r="G43" s="258"/>
      <c r="H43" s="258"/>
    </row>
    <row r="44" spans="1:8" s="171" customFormat="1" ht="20.100000000000001" customHeight="1">
      <c r="B44" s="194" t="s">
        <v>100</v>
      </c>
      <c r="C44" s="194" t="s">
        <v>101</v>
      </c>
      <c r="D44" s="316">
        <f>input!D85*input!D84</f>
        <v>1088</v>
      </c>
      <c r="E44" s="316"/>
      <c r="F44" s="235">
        <f>input!C85*input!C84</f>
        <v>120</v>
      </c>
      <c r="G44" s="235">
        <f>D44*1000/F44/2/PI()/50</f>
        <v>28.860096347330355</v>
      </c>
      <c r="H44" s="235">
        <f>G44/2</f>
        <v>14.430048173665178</v>
      </c>
    </row>
    <row r="45" spans="1:8" s="171" customFormat="1" ht="14.25" customHeight="1">
      <c r="B45" s="328"/>
      <c r="C45" s="328"/>
      <c r="D45" s="316"/>
      <c r="E45" s="316"/>
      <c r="F45" s="329"/>
      <c r="G45" s="329"/>
    </row>
    <row r="46" spans="1:8" s="171" customFormat="1" ht="20.100000000000001" customHeight="1">
      <c r="B46" s="199" t="s">
        <v>102</v>
      </c>
      <c r="C46" s="199" t="s">
        <v>103</v>
      </c>
      <c r="D46" s="306">
        <f>input!D86*input!D84</f>
        <v>1072</v>
      </c>
      <c r="E46" s="307"/>
      <c r="F46" s="237">
        <f>input!C86*input!C84</f>
        <v>120</v>
      </c>
      <c r="G46" s="235">
        <f>D46*1000/F46/2/PI()/50</f>
        <v>28.435683165751971</v>
      </c>
      <c r="H46" s="235">
        <f>G46/2</f>
        <v>14.217841582875986</v>
      </c>
    </row>
    <row r="47" spans="1:8" s="171" customFormat="1" ht="14.25" customHeight="1">
      <c r="B47" s="328"/>
      <c r="C47" s="328"/>
      <c r="D47" s="316"/>
      <c r="E47" s="316"/>
      <c r="F47" s="329"/>
      <c r="G47" s="329"/>
    </row>
    <row r="48" spans="1:8" s="171" customFormat="1" ht="20.100000000000001" customHeight="1">
      <c r="B48" s="199" t="s">
        <v>104</v>
      </c>
      <c r="C48" s="199" t="s">
        <v>105</v>
      </c>
      <c r="D48" s="303">
        <f>input!D87*input!D84</f>
        <v>1086</v>
      </c>
      <c r="E48" s="303"/>
      <c r="F48" s="237">
        <f>input!C87*input!C84</f>
        <v>120</v>
      </c>
      <c r="G48" s="235">
        <f>D48*1000/F48/2/PI()/50</f>
        <v>28.807044699633057</v>
      </c>
      <c r="H48" s="235">
        <f>G48/2</f>
        <v>14.403522349816528</v>
      </c>
    </row>
    <row r="49" spans="1:8" s="171" customFormat="1" ht="20.100000000000001" customHeight="1">
      <c r="B49" s="199"/>
      <c r="C49" s="199"/>
      <c r="D49" s="303"/>
      <c r="E49" s="303"/>
      <c r="F49" s="199"/>
      <c r="G49" s="259"/>
      <c r="H49" s="259"/>
    </row>
    <row r="50" spans="1:8" s="171" customFormat="1" ht="12.75" customHeight="1"/>
    <row r="51" spans="1:8" s="171" customFormat="1" ht="20.100000000000001" customHeight="1">
      <c r="B51" s="171" t="s">
        <v>319</v>
      </c>
    </row>
    <row r="52" spans="1:8" s="171" customFormat="1" ht="13.5" customHeight="1"/>
    <row r="53" spans="1:8" s="171" customFormat="1" ht="20.100000000000001" customHeight="1">
      <c r="A53" s="180">
        <v>3</v>
      </c>
      <c r="B53" s="181" t="s">
        <v>320</v>
      </c>
      <c r="D53" s="229">
        <f>input!C46</f>
        <v>4.2</v>
      </c>
      <c r="E53" s="171" t="s">
        <v>321</v>
      </c>
    </row>
    <row r="54" spans="1:8" s="171" customFormat="1" ht="20.100000000000001" customHeight="1">
      <c r="B54" s="181" t="s">
        <v>322</v>
      </c>
    </row>
    <row r="55" spans="1:8" s="171" customFormat="1" ht="20.100000000000001" customHeight="1">
      <c r="D55" s="171" t="s">
        <v>310</v>
      </c>
    </row>
    <row r="56" spans="1:8" s="171" customFormat="1" ht="14.25"/>
    <row r="57" spans="1:8" s="171" customFormat="1" ht="14.25"/>
    <row r="58" spans="1:8" s="171" customFormat="1" ht="14.25"/>
    <row r="59" spans="1:8" s="171" customFormat="1" ht="14.25"/>
    <row r="60" spans="1:8" s="171" customFormat="1" ht="14.25"/>
    <row r="61" spans="1:8" s="171" customFormat="1" ht="14.25"/>
    <row r="62" spans="1:8" s="171" customFormat="1" ht="14.25"/>
    <row r="63" spans="1:8" s="171" customFormat="1" ht="14.25"/>
    <row r="64" spans="1:8" s="171" customFormat="1" ht="14.25"/>
    <row r="65" s="171" customFormat="1" ht="14.25"/>
    <row r="66" s="171" customFormat="1" ht="14.25"/>
    <row r="67" s="171" customFormat="1" ht="14.25"/>
    <row r="68" s="171" customFormat="1" ht="14.25"/>
    <row r="69" s="171" customFormat="1" ht="14.25"/>
    <row r="70" s="171" customFormat="1" ht="14.25"/>
    <row r="71" s="171" customFormat="1" ht="14.25"/>
    <row r="72" s="171" customFormat="1" ht="14.25"/>
    <row r="73" s="171" customFormat="1" ht="14.25"/>
    <row r="74" s="171" customFormat="1" ht="14.25"/>
    <row r="75" s="171" customFormat="1" ht="14.25"/>
  </sheetData>
  <sheetProtection algorithmName="SHA-512" hashValue="NIGLC7B50mZmf0Oc0GGSrZYR2Xq6gtu1SHbqv8VYYnXqoKupPKJXPiMNy44ZijEHmidHDTDxDPoROnhNqJXEZw==" saltValue="sxSVLbLUgoqQeuP1YBb1LA==" spinCount="100000" sheet="1" objects="1" scenarios="1"/>
  <mergeCells count="60">
    <mergeCell ref="A1:G1"/>
    <mergeCell ref="A2:G2"/>
    <mergeCell ref="A3:G3"/>
    <mergeCell ref="B23:C23"/>
    <mergeCell ref="B24:C24"/>
    <mergeCell ref="F24:G24"/>
    <mergeCell ref="B25:C25"/>
    <mergeCell ref="D25:E25"/>
    <mergeCell ref="F25:G25"/>
    <mergeCell ref="B26:C26"/>
    <mergeCell ref="D26:E26"/>
    <mergeCell ref="F26:G26"/>
    <mergeCell ref="B27:C27"/>
    <mergeCell ref="D27:E27"/>
    <mergeCell ref="F27:G27"/>
    <mergeCell ref="B28:C28"/>
    <mergeCell ref="D28:E28"/>
    <mergeCell ref="F28:G28"/>
    <mergeCell ref="B29:C29"/>
    <mergeCell ref="D29:E29"/>
    <mergeCell ref="F29:G29"/>
    <mergeCell ref="B30:C30"/>
    <mergeCell ref="D30:E30"/>
    <mergeCell ref="F30:G30"/>
    <mergeCell ref="B31:C31"/>
    <mergeCell ref="D31:E31"/>
    <mergeCell ref="F31:G31"/>
    <mergeCell ref="B32:C32"/>
    <mergeCell ref="D32:E32"/>
    <mergeCell ref="F32:G32"/>
    <mergeCell ref="B33:C33"/>
    <mergeCell ref="D33:E33"/>
    <mergeCell ref="F33:G33"/>
    <mergeCell ref="B34:C34"/>
    <mergeCell ref="D34:E34"/>
    <mergeCell ref="F34:G34"/>
    <mergeCell ref="B35:C35"/>
    <mergeCell ref="D35:E35"/>
    <mergeCell ref="F35:G35"/>
    <mergeCell ref="B36:C36"/>
    <mergeCell ref="D36:E36"/>
    <mergeCell ref="F36:G36"/>
    <mergeCell ref="B37:C37"/>
    <mergeCell ref="D37:E37"/>
    <mergeCell ref="F37:G37"/>
    <mergeCell ref="B38:C38"/>
    <mergeCell ref="D41:E41"/>
    <mergeCell ref="G41:H41"/>
    <mergeCell ref="B45:C45"/>
    <mergeCell ref="D45:E45"/>
    <mergeCell ref="D46:E46"/>
    <mergeCell ref="B47:C47"/>
    <mergeCell ref="D47:E47"/>
    <mergeCell ref="F47:G47"/>
    <mergeCell ref="D48:E48"/>
    <mergeCell ref="D49:E49"/>
    <mergeCell ref="D42:E42"/>
    <mergeCell ref="D43:E43"/>
    <mergeCell ref="D44:E44"/>
    <mergeCell ref="F45:G45"/>
  </mergeCells>
  <pageMargins left="0.62992125984251968" right="0.15748031496062992" top="0.59055118110236227" bottom="0.59055118110236227" header="0.51181102362204722" footer="0.51181102362204722"/>
  <pageSetup paperSize="9" scale="90" orientation="portrait" horizontalDpi="4294967295" verticalDpi="4294967295" r:id="rId1"/>
  <headerFooter alignWithMargins="0"/>
  <rowBreaks count="1" manualBreakCount="1">
    <brk id="19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37"/>
  <sheetViews>
    <sheetView workbookViewId="0">
      <selection activeCell="J71" sqref="J71"/>
    </sheetView>
  </sheetViews>
  <sheetFormatPr defaultRowHeight="14.1" customHeight="1"/>
  <cols>
    <col min="1" max="1" width="3.85546875" style="260" customWidth="1"/>
    <col min="2" max="2" width="11.42578125" style="260" customWidth="1"/>
    <col min="3" max="3" width="6.28515625" style="260" customWidth="1"/>
    <col min="4" max="4" width="9.140625" style="260"/>
    <col min="5" max="5" width="16.5703125" style="260" customWidth="1"/>
    <col min="6" max="6" width="7.85546875" style="260" customWidth="1"/>
    <col min="7" max="7" width="9.42578125" style="260" customWidth="1"/>
    <col min="8" max="8" width="10" style="260" customWidth="1"/>
    <col min="9" max="9" width="10.85546875" style="260" bestFit="1" customWidth="1"/>
    <col min="10" max="10" width="4.85546875" style="260" customWidth="1"/>
    <col min="11" max="16384" width="9.140625" style="260"/>
  </cols>
  <sheetData>
    <row r="1" spans="1:10" ht="6.75" customHeight="1"/>
    <row r="2" spans="1:10" s="263" customFormat="1" ht="18.75" customHeight="1">
      <c r="A2" s="261" t="s">
        <v>323</v>
      </c>
      <c r="B2" s="262"/>
      <c r="C2" s="262"/>
      <c r="D2" s="262"/>
      <c r="E2" s="262"/>
      <c r="F2" s="262"/>
      <c r="G2" s="262"/>
      <c r="H2" s="262"/>
      <c r="I2" s="262"/>
      <c r="J2" s="262"/>
    </row>
    <row r="3" spans="1:10" s="263" customFormat="1" ht="7.5" customHeight="1">
      <c r="A3" s="264"/>
    </row>
    <row r="4" spans="1:10" s="264" customFormat="1" ht="14.1" customHeight="1">
      <c r="A4" s="261"/>
      <c r="B4" s="265" t="s">
        <v>324</v>
      </c>
      <c r="C4" s="338">
        <f>+input!C2</f>
        <v>2046943</v>
      </c>
      <c r="D4" s="338"/>
      <c r="E4" s="265" t="s">
        <v>325</v>
      </c>
      <c r="F4" s="338">
        <f>+input!C3</f>
        <v>2046987</v>
      </c>
      <c r="G4" s="338"/>
      <c r="H4" s="265" t="s">
        <v>326</v>
      </c>
      <c r="I4" s="266">
        <f>+input!C4</f>
        <v>2047031</v>
      </c>
      <c r="J4" s="261"/>
    </row>
    <row r="5" spans="1:10" s="263" customFormat="1" ht="14.1" customHeight="1">
      <c r="A5" s="267"/>
      <c r="H5" s="268" t="s">
        <v>327</v>
      </c>
      <c r="I5" s="269">
        <f>tr!G4</f>
        <v>523</v>
      </c>
    </row>
    <row r="6" spans="1:10" s="263" customFormat="1" ht="14.1" customHeight="1">
      <c r="A6" s="264">
        <v>1</v>
      </c>
      <c r="B6" s="267" t="s">
        <v>328</v>
      </c>
      <c r="C6" s="264"/>
    </row>
    <row r="7" spans="1:10" ht="11.25" customHeight="1"/>
    <row r="8" spans="1:10" ht="14.1" customHeight="1">
      <c r="B8" s="260" t="s">
        <v>329</v>
      </c>
    </row>
    <row r="10" spans="1:10" s="263" customFormat="1" ht="14.1" customHeight="1">
      <c r="A10" s="264">
        <v>2</v>
      </c>
      <c r="B10" s="267" t="s">
        <v>330</v>
      </c>
      <c r="C10" s="264"/>
      <c r="D10" s="264"/>
    </row>
    <row r="11" spans="1:10" ht="8.25" customHeight="1"/>
    <row r="12" spans="1:10" ht="14.1" customHeight="1">
      <c r="B12" s="270" t="s">
        <v>331</v>
      </c>
      <c r="C12" s="271" t="s">
        <v>332</v>
      </c>
      <c r="D12" s="260" t="s">
        <v>333</v>
      </c>
    </row>
    <row r="13" spans="1:10" ht="14.1" customHeight="1">
      <c r="B13" s="270" t="s">
        <v>334</v>
      </c>
      <c r="C13" s="271" t="s">
        <v>332</v>
      </c>
      <c r="D13" s="260" t="s">
        <v>335</v>
      </c>
    </row>
    <row r="14" spans="1:10" ht="14.1" customHeight="1">
      <c r="B14" s="270" t="s">
        <v>336</v>
      </c>
      <c r="C14" s="271" t="s">
        <v>332</v>
      </c>
      <c r="D14" s="272" t="s">
        <v>337</v>
      </c>
      <c r="E14" s="273"/>
    </row>
    <row r="15" spans="1:10" ht="14.1" customHeight="1">
      <c r="A15" s="274" t="s">
        <v>338</v>
      </c>
      <c r="B15" s="275" t="s">
        <v>25</v>
      </c>
    </row>
    <row r="16" spans="1:10" ht="14.1" customHeight="1">
      <c r="B16" s="271"/>
      <c r="C16" s="270" t="s">
        <v>331</v>
      </c>
      <c r="D16" s="271" t="s">
        <v>332</v>
      </c>
      <c r="E16" s="260">
        <f>+input!E19</f>
        <v>18</v>
      </c>
      <c r="F16" s="260" t="s">
        <v>133</v>
      </c>
    </row>
    <row r="17" spans="1:9" ht="14.1" customHeight="1">
      <c r="B17" s="271"/>
      <c r="C17" s="270" t="s">
        <v>334</v>
      </c>
      <c r="D17" s="271" t="s">
        <v>332</v>
      </c>
      <c r="E17" s="260">
        <f>+input!C20</f>
        <v>496.7</v>
      </c>
      <c r="F17" s="260" t="s">
        <v>339</v>
      </c>
    </row>
    <row r="18" spans="1:9" ht="14.1" customHeight="1">
      <c r="B18" s="271"/>
      <c r="C18" s="270" t="s">
        <v>336</v>
      </c>
      <c r="D18" s="271" t="s">
        <v>332</v>
      </c>
      <c r="E18" s="260" t="str">
        <f>+CONCATENATE(E17,"x(235+75)/(235+",E16,")")</f>
        <v>496.7x(235+75)/(235+18)</v>
      </c>
      <c r="F18" s="276"/>
      <c r="G18" s="271" t="s">
        <v>332</v>
      </c>
      <c r="H18" s="277">
        <f>+E17*310/(235+E16)</f>
        <v>608.604743083004</v>
      </c>
      <c r="I18" s="260" t="s">
        <v>339</v>
      </c>
    </row>
    <row r="19" spans="1:9" ht="14.1" customHeight="1">
      <c r="A19" s="274" t="s">
        <v>340</v>
      </c>
      <c r="B19" s="275" t="s">
        <v>219</v>
      </c>
      <c r="H19" s="277"/>
    </row>
    <row r="20" spans="1:9" ht="14.1" customHeight="1">
      <c r="B20" s="271"/>
      <c r="C20" s="270" t="s">
        <v>331</v>
      </c>
      <c r="D20" s="271" t="s">
        <v>332</v>
      </c>
      <c r="E20" s="260">
        <f>+E16</f>
        <v>18</v>
      </c>
      <c r="F20" s="260" t="s">
        <v>133</v>
      </c>
      <c r="H20" s="277"/>
    </row>
    <row r="21" spans="1:9" ht="14.1" customHeight="1">
      <c r="B21" s="271"/>
      <c r="C21" s="270" t="s">
        <v>334</v>
      </c>
      <c r="D21" s="271" t="s">
        <v>332</v>
      </c>
      <c r="E21" s="260">
        <f>+input!C21</f>
        <v>9.9670000000000005</v>
      </c>
      <c r="F21" s="260" t="s">
        <v>339</v>
      </c>
      <c r="H21" s="277"/>
    </row>
    <row r="22" spans="1:9" ht="14.1" customHeight="1">
      <c r="B22" s="271"/>
      <c r="C22" s="270" t="s">
        <v>336</v>
      </c>
      <c r="D22" s="271" t="s">
        <v>332</v>
      </c>
      <c r="E22" s="260" t="str">
        <f>+CONCATENATE(E21,"x(235+75)/(235+",E20,")")</f>
        <v>9.967x(235+75)/(235+18)</v>
      </c>
      <c r="F22" s="276"/>
      <c r="G22" s="271" t="s">
        <v>332</v>
      </c>
      <c r="H22" s="277">
        <f>+E21*310/(235+E20)</f>
        <v>12.212529644268775</v>
      </c>
      <c r="I22" s="260" t="s">
        <v>339</v>
      </c>
    </row>
    <row r="23" spans="1:9" ht="14.1" customHeight="1">
      <c r="A23" s="274" t="s">
        <v>341</v>
      </c>
      <c r="B23" s="275" t="s">
        <v>60</v>
      </c>
      <c r="H23" s="277"/>
    </row>
    <row r="24" spans="1:9" ht="14.1" customHeight="1">
      <c r="B24" s="271"/>
      <c r="C24" s="270" t="s">
        <v>331</v>
      </c>
      <c r="D24" s="271" t="s">
        <v>332</v>
      </c>
      <c r="E24" s="260">
        <f>+E20</f>
        <v>18</v>
      </c>
      <c r="F24" s="260" t="s">
        <v>133</v>
      </c>
      <c r="H24" s="277"/>
    </row>
    <row r="25" spans="1:9" ht="14.1" customHeight="1">
      <c r="B25" s="271"/>
      <c r="C25" s="270" t="s">
        <v>342</v>
      </c>
      <c r="D25" s="271" t="s">
        <v>332</v>
      </c>
      <c r="E25" s="260">
        <f>+input!C22</f>
        <v>9.4369999999999994</v>
      </c>
      <c r="F25" s="260" t="s">
        <v>339</v>
      </c>
      <c r="H25" s="277"/>
    </row>
    <row r="26" spans="1:9" ht="14.1" customHeight="1">
      <c r="B26" s="271"/>
      <c r="C26" s="270" t="s">
        <v>336</v>
      </c>
      <c r="D26" s="271" t="s">
        <v>332</v>
      </c>
      <c r="E26" s="260" t="str">
        <f>+CONCATENATE(E25,"x(235+75)/(235+",E24,")")</f>
        <v>9.437x(235+75)/(235+18)</v>
      </c>
      <c r="F26" s="276"/>
      <c r="G26" s="271" t="s">
        <v>332</v>
      </c>
      <c r="H26" s="277">
        <f>+E25*310/(235+E24)</f>
        <v>11.563122529644268</v>
      </c>
      <c r="I26" s="260" t="s">
        <v>339</v>
      </c>
    </row>
    <row r="27" spans="1:9" ht="14.1" customHeight="1">
      <c r="A27" s="274" t="s">
        <v>343</v>
      </c>
      <c r="B27" s="275" t="s">
        <v>63</v>
      </c>
      <c r="H27" s="277"/>
    </row>
    <row r="28" spans="1:9" ht="14.1" customHeight="1">
      <c r="B28" s="271"/>
      <c r="C28" s="270" t="s">
        <v>331</v>
      </c>
      <c r="D28" s="271" t="s">
        <v>332</v>
      </c>
      <c r="E28" s="260">
        <f>+E24</f>
        <v>18</v>
      </c>
      <c r="F28" s="260" t="s">
        <v>133</v>
      </c>
      <c r="H28" s="277"/>
    </row>
    <row r="29" spans="1:9" ht="14.1" customHeight="1">
      <c r="B29" s="271"/>
      <c r="C29" s="270" t="s">
        <v>334</v>
      </c>
      <c r="D29" s="271" t="s">
        <v>332</v>
      </c>
      <c r="E29" s="260">
        <f>+input!C23</f>
        <v>9.2720000000000002</v>
      </c>
      <c r="F29" s="260" t="s">
        <v>339</v>
      </c>
      <c r="H29" s="277"/>
    </row>
    <row r="30" spans="1:9" ht="14.1" customHeight="1">
      <c r="B30" s="271"/>
      <c r="C30" s="270" t="s">
        <v>336</v>
      </c>
      <c r="D30" s="271" t="s">
        <v>332</v>
      </c>
      <c r="E30" s="260" t="str">
        <f>+CONCATENATE(E29,"x(235+75)/(235+",E28,")")</f>
        <v>9.272x(235+75)/(235+18)</v>
      </c>
      <c r="F30" s="276"/>
      <c r="G30" s="271" t="s">
        <v>332</v>
      </c>
      <c r="H30" s="277">
        <f>+E29*310/(235+E28)</f>
        <v>11.36094861660079</v>
      </c>
      <c r="I30" s="260" t="s">
        <v>339</v>
      </c>
    </row>
    <row r="31" spans="1:9" ht="14.1" customHeight="1">
      <c r="A31" s="274" t="s">
        <v>344</v>
      </c>
      <c r="B31" s="275" t="s">
        <v>65</v>
      </c>
      <c r="H31" s="277"/>
    </row>
    <row r="32" spans="1:9" ht="14.1" customHeight="1">
      <c r="B32" s="271"/>
      <c r="C32" s="270" t="s">
        <v>331</v>
      </c>
      <c r="D32" s="271" t="s">
        <v>332</v>
      </c>
      <c r="E32" s="260">
        <f>+E28</f>
        <v>18</v>
      </c>
      <c r="F32" s="260" t="s">
        <v>133</v>
      </c>
      <c r="H32" s="277"/>
    </row>
    <row r="33" spans="1:9" ht="14.1" customHeight="1">
      <c r="B33" s="271"/>
      <c r="C33" s="270" t="s">
        <v>334</v>
      </c>
      <c r="D33" s="271" t="s">
        <v>332</v>
      </c>
      <c r="E33" s="260">
        <f>+input!C24</f>
        <v>9.1470000000000002</v>
      </c>
      <c r="F33" s="260" t="s">
        <v>339</v>
      </c>
      <c r="H33" s="277"/>
    </row>
    <row r="34" spans="1:9" ht="14.1" customHeight="1">
      <c r="B34" s="271"/>
      <c r="C34" s="270" t="s">
        <v>336</v>
      </c>
      <c r="D34" s="271" t="s">
        <v>332</v>
      </c>
      <c r="E34" s="260" t="str">
        <f>+CONCATENATE(E33,"x(235+75)/(235+",E32,")")</f>
        <v>9.147x(235+75)/(235+18)</v>
      </c>
      <c r="F34" s="276"/>
      <c r="G34" s="271" t="s">
        <v>332</v>
      </c>
      <c r="H34" s="277">
        <f>+E33*310/(235+E32)</f>
        <v>11.207786561264824</v>
      </c>
      <c r="I34" s="260" t="s">
        <v>339</v>
      </c>
    </row>
    <row r="35" spans="1:9" ht="14.1" customHeight="1">
      <c r="A35" s="274" t="s">
        <v>345</v>
      </c>
      <c r="B35" s="275" t="s">
        <v>346</v>
      </c>
      <c r="H35" s="277"/>
    </row>
    <row r="36" spans="1:9" ht="14.1" customHeight="1">
      <c r="B36" s="271"/>
      <c r="C36" s="270" t="s">
        <v>331</v>
      </c>
      <c r="D36" s="271" t="s">
        <v>332</v>
      </c>
      <c r="E36" s="260">
        <f>+E32</f>
        <v>18</v>
      </c>
      <c r="F36" s="260" t="s">
        <v>133</v>
      </c>
      <c r="H36" s="277"/>
    </row>
    <row r="37" spans="1:9" ht="14.1" customHeight="1">
      <c r="B37" s="271"/>
      <c r="C37" s="270" t="s">
        <v>334</v>
      </c>
      <c r="D37" s="271" t="s">
        <v>332</v>
      </c>
      <c r="E37" s="260">
        <f>+input!C25</f>
        <v>13.927</v>
      </c>
      <c r="F37" s="260" t="s">
        <v>339</v>
      </c>
      <c r="H37" s="277"/>
    </row>
    <row r="38" spans="1:9" ht="14.1" customHeight="1">
      <c r="B38" s="271"/>
      <c r="C38" s="270" t="s">
        <v>336</v>
      </c>
      <c r="D38" s="271" t="s">
        <v>332</v>
      </c>
      <c r="E38" s="260" t="str">
        <f>+CONCATENATE(E37,"x(235+75)/(235+",E36,")")</f>
        <v>13.927x(235+75)/(235+18)</v>
      </c>
      <c r="F38" s="276"/>
      <c r="G38" s="271" t="s">
        <v>332</v>
      </c>
      <c r="H38" s="277">
        <f>+E37*310/(235+E36)</f>
        <v>17.064703557312253</v>
      </c>
      <c r="I38" s="260" t="s">
        <v>339</v>
      </c>
    </row>
    <row r="39" spans="1:9" ht="14.1" customHeight="1">
      <c r="A39" s="274" t="s">
        <v>347</v>
      </c>
      <c r="B39" s="275" t="s">
        <v>195</v>
      </c>
      <c r="H39" s="277"/>
    </row>
    <row r="40" spans="1:9" ht="14.1" customHeight="1">
      <c r="B40" s="271"/>
      <c r="C40" s="270" t="s">
        <v>331</v>
      </c>
      <c r="D40" s="271" t="s">
        <v>332</v>
      </c>
      <c r="E40" s="260">
        <f>+E36</f>
        <v>18</v>
      </c>
      <c r="F40" s="260" t="s">
        <v>133</v>
      </c>
      <c r="H40" s="277"/>
    </row>
    <row r="41" spans="1:9" ht="14.1" customHeight="1">
      <c r="B41" s="271"/>
      <c r="C41" s="270" t="s">
        <v>334</v>
      </c>
      <c r="D41" s="271" t="s">
        <v>332</v>
      </c>
      <c r="E41" s="260">
        <f>+input!C26</f>
        <v>18.196999999999999</v>
      </c>
      <c r="F41" s="260" t="s">
        <v>339</v>
      </c>
      <c r="H41" s="277"/>
    </row>
    <row r="42" spans="1:9" ht="14.1" customHeight="1">
      <c r="B42" s="271"/>
      <c r="C42" s="270" t="s">
        <v>336</v>
      </c>
      <c r="D42" s="271" t="s">
        <v>332</v>
      </c>
      <c r="E42" s="260" t="str">
        <f>+CONCATENATE(E41,"x(235+75)/(235+",E40,")")</f>
        <v>18.197x(235+75)/(235+18)</v>
      </c>
      <c r="F42" s="276"/>
      <c r="G42" s="271" t="s">
        <v>332</v>
      </c>
      <c r="H42" s="277">
        <f>+E41*310/(235+E40)</f>
        <v>22.296719367588931</v>
      </c>
      <c r="I42" s="260" t="s">
        <v>339</v>
      </c>
    </row>
    <row r="43" spans="1:9" ht="14.1" customHeight="1">
      <c r="A43" s="274" t="s">
        <v>348</v>
      </c>
      <c r="B43" s="275" t="s">
        <v>67</v>
      </c>
      <c r="H43" s="278"/>
    </row>
    <row r="44" spans="1:9" ht="14.1" customHeight="1">
      <c r="B44" s="271"/>
      <c r="C44" s="270" t="s">
        <v>331</v>
      </c>
      <c r="D44" s="271" t="s">
        <v>332</v>
      </c>
      <c r="E44" s="260">
        <f>+E40</f>
        <v>18</v>
      </c>
      <c r="F44" s="260" t="s">
        <v>133</v>
      </c>
      <c r="H44" s="278"/>
    </row>
    <row r="45" spans="1:9" ht="14.1" customHeight="1">
      <c r="B45" s="271"/>
      <c r="C45" s="270" t="s">
        <v>334</v>
      </c>
      <c r="D45" s="271" t="s">
        <v>332</v>
      </c>
      <c r="E45" s="260">
        <f>+input!C27</f>
        <v>12.792</v>
      </c>
      <c r="F45" s="260" t="s">
        <v>339</v>
      </c>
      <c r="H45" s="278"/>
    </row>
    <row r="46" spans="1:9" ht="14.1" customHeight="1">
      <c r="B46" s="271"/>
      <c r="C46" s="270" t="s">
        <v>336</v>
      </c>
      <c r="D46" s="271" t="s">
        <v>332</v>
      </c>
      <c r="E46" s="260" t="str">
        <f>+CONCATENATE(E45,"x(235+75)/(235+",E44,")")</f>
        <v>12.792x(235+75)/(235+18)</v>
      </c>
      <c r="F46" s="276"/>
      <c r="G46" s="271" t="s">
        <v>332</v>
      </c>
      <c r="H46" s="277">
        <f>+E45*310/(235+E44)</f>
        <v>15.67399209486166</v>
      </c>
      <c r="I46" s="260" t="s">
        <v>339</v>
      </c>
    </row>
    <row r="47" spans="1:9" ht="14.1" customHeight="1">
      <c r="B47" s="271"/>
      <c r="C47" s="270"/>
      <c r="D47" s="271"/>
      <c r="F47" s="276"/>
      <c r="G47" s="271"/>
      <c r="H47" s="277"/>
    </row>
    <row r="48" spans="1:9" ht="14.1" customHeight="1">
      <c r="A48" s="274" t="s">
        <v>349</v>
      </c>
      <c r="B48" s="275" t="s">
        <v>69</v>
      </c>
      <c r="C48" s="270"/>
      <c r="D48" s="271"/>
      <c r="F48" s="276"/>
      <c r="G48" s="271"/>
      <c r="H48" s="277"/>
    </row>
    <row r="49" spans="1:9" ht="14.1" customHeight="1">
      <c r="B49" s="271"/>
      <c r="C49" s="270" t="s">
        <v>331</v>
      </c>
      <c r="D49" s="271" t="s">
        <v>332</v>
      </c>
      <c r="E49" s="260">
        <f>+E44</f>
        <v>18</v>
      </c>
      <c r="F49" s="260" t="s">
        <v>133</v>
      </c>
      <c r="H49" s="278"/>
    </row>
    <row r="50" spans="1:9" ht="14.1" customHeight="1">
      <c r="B50" s="271"/>
      <c r="C50" s="270" t="s">
        <v>334</v>
      </c>
      <c r="D50" s="271" t="s">
        <v>332</v>
      </c>
      <c r="E50" s="260">
        <f>+input!C28</f>
        <v>12.827</v>
      </c>
      <c r="F50" s="260" t="s">
        <v>339</v>
      </c>
      <c r="H50" s="278"/>
    </row>
    <row r="51" spans="1:9" ht="14.1" customHeight="1">
      <c r="B51" s="271"/>
      <c r="C51" s="270" t="s">
        <v>336</v>
      </c>
      <c r="D51" s="271" t="s">
        <v>332</v>
      </c>
      <c r="E51" s="260" t="str">
        <f>+CONCATENATE(E50,"x(235+75)/(235+",E49,")")</f>
        <v>12.827x(235+75)/(235+18)</v>
      </c>
      <c r="F51" s="276"/>
      <c r="G51" s="271" t="s">
        <v>332</v>
      </c>
      <c r="H51" s="277">
        <f>+E50*310/(235+E49)</f>
        <v>15.716877470355731</v>
      </c>
      <c r="I51" s="260" t="s">
        <v>339</v>
      </c>
    </row>
    <row r="52" spans="1:9" ht="14.1" customHeight="1">
      <c r="B52" s="271"/>
      <c r="C52" s="270"/>
      <c r="D52" s="271"/>
      <c r="F52" s="276"/>
      <c r="G52" s="271"/>
      <c r="H52" s="277"/>
    </row>
    <row r="53" spans="1:9" ht="14.1" customHeight="1">
      <c r="A53" s="260" t="s">
        <v>350</v>
      </c>
      <c r="B53" s="275" t="s">
        <v>71</v>
      </c>
      <c r="C53" s="270" t="s">
        <v>331</v>
      </c>
      <c r="D53" s="271" t="s">
        <v>332</v>
      </c>
      <c r="E53" s="260">
        <f>+E49</f>
        <v>18</v>
      </c>
      <c r="F53" s="260" t="s">
        <v>133</v>
      </c>
      <c r="H53" s="278"/>
    </row>
    <row r="54" spans="1:9" ht="14.1" customHeight="1">
      <c r="B54" s="271"/>
      <c r="C54" s="270" t="s">
        <v>334</v>
      </c>
      <c r="D54" s="271" t="s">
        <v>332</v>
      </c>
      <c r="E54" s="260">
        <f>E45+E50</f>
        <v>25.619</v>
      </c>
      <c r="F54" s="260" t="s">
        <v>339</v>
      </c>
      <c r="H54" s="278"/>
    </row>
    <row r="55" spans="1:9" ht="14.1" customHeight="1">
      <c r="B55" s="271"/>
      <c r="C55" s="270" t="s">
        <v>336</v>
      </c>
      <c r="D55" s="271" t="s">
        <v>332</v>
      </c>
      <c r="E55" s="260" t="str">
        <f>+CONCATENATE(E54,"x(235+75)/(235+",E53,")")</f>
        <v>25.619x(235+75)/(235+18)</v>
      </c>
      <c r="F55" s="276"/>
      <c r="G55" s="271" t="s">
        <v>332</v>
      </c>
      <c r="H55" s="277">
        <f>+E54*310/(235+E53)</f>
        <v>31.390869565217393</v>
      </c>
      <c r="I55" s="260" t="s">
        <v>339</v>
      </c>
    </row>
    <row r="56" spans="1:9" ht="14.1" customHeight="1">
      <c r="B56" s="271"/>
      <c r="C56" s="270"/>
      <c r="D56" s="271"/>
      <c r="F56" s="276"/>
      <c r="G56" s="271"/>
      <c r="H56" s="277"/>
    </row>
    <row r="57" spans="1:9" ht="14.1" customHeight="1">
      <c r="A57" s="274" t="s">
        <v>350</v>
      </c>
      <c r="B57" s="275" t="s">
        <v>351</v>
      </c>
      <c r="H57" s="277"/>
    </row>
    <row r="58" spans="1:9" ht="14.1" customHeight="1">
      <c r="B58" s="271"/>
      <c r="C58" s="270" t="s">
        <v>331</v>
      </c>
      <c r="D58" s="271" t="s">
        <v>332</v>
      </c>
      <c r="E58" s="260">
        <f>+E44</f>
        <v>18</v>
      </c>
      <c r="F58" s="260" t="s">
        <v>133</v>
      </c>
      <c r="H58" s="277"/>
    </row>
    <row r="59" spans="1:9" ht="14.1" customHeight="1">
      <c r="B59" s="271"/>
      <c r="C59" s="270" t="s">
        <v>334</v>
      </c>
      <c r="D59" s="271" t="s">
        <v>332</v>
      </c>
      <c r="E59" s="260">
        <f>+input!C30</f>
        <v>2.6819999999999999</v>
      </c>
      <c r="F59" s="260" t="s">
        <v>339</v>
      </c>
      <c r="H59" s="277"/>
    </row>
    <row r="60" spans="1:9" ht="14.1" customHeight="1">
      <c r="B60" s="271"/>
      <c r="C60" s="270" t="s">
        <v>336</v>
      </c>
      <c r="D60" s="271" t="s">
        <v>332</v>
      </c>
      <c r="E60" s="260" t="str">
        <f>+CONCATENATE(E59,"x(235+75)/(235+",E58,")")</f>
        <v>2.682x(235+75)/(235+18)</v>
      </c>
      <c r="F60" s="276"/>
      <c r="G60" s="271" t="s">
        <v>332</v>
      </c>
      <c r="H60" s="277">
        <f>+E59*310/(235+E58)</f>
        <v>3.2862450592885373</v>
      </c>
      <c r="I60" s="260" t="s">
        <v>339</v>
      </c>
    </row>
    <row r="61" spans="1:9" ht="14.1" customHeight="1">
      <c r="A61" s="274" t="s">
        <v>352</v>
      </c>
      <c r="B61" s="275" t="s">
        <v>353</v>
      </c>
      <c r="H61" s="277"/>
    </row>
    <row r="62" spans="1:9" ht="14.1" customHeight="1">
      <c r="B62" s="271"/>
      <c r="C62" s="270" t="s">
        <v>331</v>
      </c>
      <c r="D62" s="271" t="s">
        <v>332</v>
      </c>
      <c r="E62" s="260">
        <f>+E58</f>
        <v>18</v>
      </c>
      <c r="F62" s="260" t="s">
        <v>133</v>
      </c>
      <c r="H62" s="277"/>
    </row>
    <row r="63" spans="1:9" ht="14.1" customHeight="1">
      <c r="B63" s="271"/>
      <c r="C63" s="270" t="s">
        <v>334</v>
      </c>
      <c r="D63" s="271" t="s">
        <v>332</v>
      </c>
      <c r="E63" s="260">
        <f>+input!C31</f>
        <v>2.5270000000000001</v>
      </c>
      <c r="F63" s="260" t="s">
        <v>339</v>
      </c>
      <c r="H63" s="277"/>
    </row>
    <row r="64" spans="1:9" ht="14.1" customHeight="1">
      <c r="B64" s="271"/>
      <c r="C64" s="270" t="s">
        <v>336</v>
      </c>
      <c r="D64" s="271" t="s">
        <v>332</v>
      </c>
      <c r="E64" s="260" t="str">
        <f>+CONCATENATE(E63,"x(235+75)/(235+",E62,")")</f>
        <v>2.527x(235+75)/(235+18)</v>
      </c>
      <c r="F64" s="276"/>
      <c r="G64" s="271" t="s">
        <v>332</v>
      </c>
      <c r="H64" s="277">
        <f>+E63*310/(235+E62)</f>
        <v>3.0963241106719366</v>
      </c>
      <c r="I64" s="260" t="s">
        <v>339</v>
      </c>
    </row>
    <row r="65" spans="1:9" ht="14.1" customHeight="1">
      <c r="A65" s="274" t="s">
        <v>354</v>
      </c>
      <c r="B65" s="275" t="s">
        <v>355</v>
      </c>
      <c r="H65" s="277"/>
    </row>
    <row r="66" spans="1:9" ht="14.1" customHeight="1">
      <c r="B66" s="271"/>
      <c r="C66" s="270" t="s">
        <v>331</v>
      </c>
      <c r="D66" s="271" t="s">
        <v>332</v>
      </c>
      <c r="E66" s="260">
        <f>+E62</f>
        <v>18</v>
      </c>
      <c r="F66" s="260" t="s">
        <v>133</v>
      </c>
      <c r="H66" s="277"/>
    </row>
    <row r="67" spans="1:9" ht="14.1" customHeight="1">
      <c r="B67" s="271"/>
      <c r="C67" s="270" t="s">
        <v>334</v>
      </c>
      <c r="D67" s="271" t="s">
        <v>332</v>
      </c>
      <c r="E67" s="260">
        <f>+input!C33</f>
        <v>46.57</v>
      </c>
      <c r="F67" s="260" t="s">
        <v>339</v>
      </c>
      <c r="H67" s="277"/>
    </row>
    <row r="68" spans="1:9" ht="14.1" customHeight="1">
      <c r="B68" s="271"/>
      <c r="C68" s="270" t="s">
        <v>336</v>
      </c>
      <c r="D68" s="271" t="s">
        <v>332</v>
      </c>
      <c r="E68" s="260" t="str">
        <f>+CONCATENATE(E67,"x(235+75)/(235+",E66,")")</f>
        <v>46.57x(235+75)/(235+18)</v>
      </c>
      <c r="F68" s="276"/>
      <c r="G68" s="271" t="s">
        <v>332</v>
      </c>
      <c r="H68" s="277">
        <f>+E67*310/(235+E66)</f>
        <v>57.062055335968381</v>
      </c>
      <c r="I68" s="260" t="s">
        <v>339</v>
      </c>
    </row>
    <row r="69" spans="1:9" ht="14.1" customHeight="1">
      <c r="A69" s="274" t="s">
        <v>356</v>
      </c>
      <c r="B69" s="275" t="s">
        <v>357</v>
      </c>
      <c r="H69" s="277"/>
    </row>
    <row r="70" spans="1:9" ht="14.1" customHeight="1">
      <c r="B70" s="271"/>
      <c r="C70" s="270" t="s">
        <v>331</v>
      </c>
      <c r="D70" s="271" t="s">
        <v>332</v>
      </c>
      <c r="E70" s="260">
        <f>+E66</f>
        <v>18</v>
      </c>
      <c r="F70" s="260" t="s">
        <v>133</v>
      </c>
      <c r="H70" s="277"/>
    </row>
    <row r="71" spans="1:9" ht="14.1" customHeight="1">
      <c r="B71" s="271"/>
      <c r="C71" s="270" t="s">
        <v>334</v>
      </c>
      <c r="D71" s="271" t="s">
        <v>332</v>
      </c>
      <c r="E71" s="260">
        <f>+input!C34</f>
        <v>46.36</v>
      </c>
      <c r="F71" s="260" t="s">
        <v>339</v>
      </c>
      <c r="H71" s="277"/>
    </row>
    <row r="72" spans="1:9" ht="14.1" customHeight="1">
      <c r="B72" s="271"/>
      <c r="C72" s="270" t="s">
        <v>336</v>
      </c>
      <c r="D72" s="271" t="s">
        <v>332</v>
      </c>
      <c r="E72" s="260" t="str">
        <f>+CONCATENATE(E71,"x(235+75)/(235+",E70,")")</f>
        <v>46.36x(235+75)/(235+18)</v>
      </c>
      <c r="F72" s="276"/>
      <c r="G72" s="271" t="s">
        <v>332</v>
      </c>
      <c r="H72" s="277">
        <f>+E71*310/(235+E70)</f>
        <v>56.804743083003956</v>
      </c>
      <c r="I72" s="260" t="s">
        <v>339</v>
      </c>
    </row>
    <row r="73" spans="1:9" ht="14.1" customHeight="1">
      <c r="A73" s="274" t="s">
        <v>358</v>
      </c>
      <c r="B73" s="275" t="s">
        <v>359</v>
      </c>
      <c r="H73" s="277"/>
    </row>
    <row r="74" spans="1:9" ht="14.1" customHeight="1">
      <c r="B74" s="271"/>
      <c r="C74" s="270" t="s">
        <v>331</v>
      </c>
      <c r="D74" s="271" t="s">
        <v>332</v>
      </c>
      <c r="E74" s="260">
        <f>+E70</f>
        <v>18</v>
      </c>
      <c r="F74" s="260" t="s">
        <v>133</v>
      </c>
      <c r="H74" s="277"/>
    </row>
    <row r="75" spans="1:9" ht="14.1" customHeight="1">
      <c r="B75" s="271"/>
      <c r="C75" s="270" t="s">
        <v>334</v>
      </c>
      <c r="D75" s="271" t="s">
        <v>332</v>
      </c>
      <c r="E75" s="260">
        <f>+input!C35</f>
        <v>46.17</v>
      </c>
      <c r="F75" s="260" t="s">
        <v>339</v>
      </c>
      <c r="H75" s="277"/>
    </row>
    <row r="76" spans="1:9" ht="14.1" customHeight="1">
      <c r="B76" s="271"/>
      <c r="C76" s="270" t="s">
        <v>336</v>
      </c>
      <c r="D76" s="271" t="s">
        <v>332</v>
      </c>
      <c r="E76" s="260" t="str">
        <f>+CONCATENATE(E75,"x(235+75)/(235+",E74,")")</f>
        <v>46.17x(235+75)/(235+18)</v>
      </c>
      <c r="F76" s="276"/>
      <c r="G76" s="271" t="s">
        <v>332</v>
      </c>
      <c r="H76" s="277">
        <f>+E75*310/(235+E74)</f>
        <v>56.571936758893287</v>
      </c>
      <c r="I76" s="260" t="s">
        <v>339</v>
      </c>
    </row>
    <row r="77" spans="1:9" ht="14.1" customHeight="1">
      <c r="A77" s="274" t="s">
        <v>360</v>
      </c>
      <c r="B77" s="275" t="s">
        <v>361</v>
      </c>
      <c r="H77" s="277"/>
    </row>
    <row r="78" spans="1:9" ht="14.1" customHeight="1">
      <c r="B78" s="271"/>
      <c r="C78" s="270" t="s">
        <v>331</v>
      </c>
      <c r="D78" s="271" t="s">
        <v>332</v>
      </c>
      <c r="E78" s="260">
        <f>+E74</f>
        <v>18</v>
      </c>
      <c r="F78" s="260" t="s">
        <v>133</v>
      </c>
      <c r="H78" s="277"/>
    </row>
    <row r="79" spans="1:9" ht="14.1" customHeight="1">
      <c r="B79" s="271"/>
      <c r="C79" s="270" t="s">
        <v>334</v>
      </c>
      <c r="D79" s="271" t="s">
        <v>332</v>
      </c>
      <c r="E79" s="260">
        <f>+input!C36</f>
        <v>46.27</v>
      </c>
      <c r="F79" s="260" t="s">
        <v>339</v>
      </c>
      <c r="H79" s="277"/>
    </row>
    <row r="80" spans="1:9" ht="14.1" customHeight="1">
      <c r="B80" s="271"/>
      <c r="C80" s="270" t="s">
        <v>336</v>
      </c>
      <c r="D80" s="271" t="s">
        <v>332</v>
      </c>
      <c r="E80" s="260" t="str">
        <f>+CONCATENATE(E79,"x(235+75)/(235+",E78,")")</f>
        <v>46.27x(235+75)/(235+18)</v>
      </c>
      <c r="F80" s="276"/>
      <c r="G80" s="271" t="s">
        <v>332</v>
      </c>
      <c r="H80" s="277">
        <f>+E79*310/(235+E78)</f>
        <v>56.69446640316206</v>
      </c>
      <c r="I80" s="260" t="s">
        <v>339</v>
      </c>
    </row>
    <row r="81" spans="1:9" ht="14.1" customHeight="1">
      <c r="A81" s="274" t="s">
        <v>362</v>
      </c>
      <c r="B81" s="275" t="s">
        <v>363</v>
      </c>
      <c r="H81" s="277"/>
    </row>
    <row r="82" spans="1:9" ht="14.1" customHeight="1">
      <c r="B82" s="271"/>
      <c r="C82" s="270" t="s">
        <v>331</v>
      </c>
      <c r="D82" s="271" t="s">
        <v>332</v>
      </c>
      <c r="E82" s="260">
        <f>+E78</f>
        <v>18</v>
      </c>
      <c r="F82" s="260" t="s">
        <v>133</v>
      </c>
      <c r="H82" s="277"/>
    </row>
    <row r="83" spans="1:9" ht="14.1" customHeight="1">
      <c r="B83" s="271"/>
      <c r="C83" s="270" t="s">
        <v>334</v>
      </c>
      <c r="D83" s="271" t="s">
        <v>332</v>
      </c>
      <c r="E83" s="260">
        <f>+input!C37</f>
        <v>45.86</v>
      </c>
      <c r="F83" s="260" t="s">
        <v>339</v>
      </c>
      <c r="H83" s="277"/>
    </row>
    <row r="84" spans="1:9" ht="14.1" customHeight="1">
      <c r="B84" s="271"/>
      <c r="C84" s="270" t="s">
        <v>336</v>
      </c>
      <c r="D84" s="271" t="s">
        <v>332</v>
      </c>
      <c r="E84" s="260" t="str">
        <f>+CONCATENATE(E83,"x(235+75)/(235+",E82,")")</f>
        <v>45.86x(235+75)/(235+18)</v>
      </c>
      <c r="F84" s="276"/>
      <c r="G84" s="271" t="s">
        <v>332</v>
      </c>
      <c r="H84" s="277">
        <f>+E83*310/(235+E82)</f>
        <v>56.192094861660081</v>
      </c>
      <c r="I84" s="260" t="s">
        <v>339</v>
      </c>
    </row>
    <row r="85" spans="1:9" ht="14.1" customHeight="1">
      <c r="A85" s="274" t="s">
        <v>364</v>
      </c>
      <c r="B85" s="275" t="s">
        <v>365</v>
      </c>
      <c r="H85" s="277"/>
    </row>
    <row r="86" spans="1:9" ht="14.1" customHeight="1">
      <c r="B86" s="271"/>
      <c r="C86" s="270" t="s">
        <v>331</v>
      </c>
      <c r="D86" s="271" t="s">
        <v>332</v>
      </c>
      <c r="E86" s="260">
        <f>+E70</f>
        <v>18</v>
      </c>
      <c r="F86" s="260" t="s">
        <v>133</v>
      </c>
      <c r="H86" s="277"/>
    </row>
    <row r="87" spans="1:9" ht="14.1" customHeight="1">
      <c r="B87" s="271"/>
      <c r="C87" s="270" t="s">
        <v>334</v>
      </c>
      <c r="D87" s="271" t="s">
        <v>332</v>
      </c>
      <c r="E87" s="260">
        <f>+input!C38</f>
        <v>45.72</v>
      </c>
      <c r="F87" s="260" t="s">
        <v>339</v>
      </c>
      <c r="H87" s="277"/>
    </row>
    <row r="88" spans="1:9" ht="14.1" customHeight="1">
      <c r="B88" s="271"/>
      <c r="C88" s="270" t="s">
        <v>336</v>
      </c>
      <c r="D88" s="271" t="s">
        <v>332</v>
      </c>
      <c r="E88" s="260" t="str">
        <f>+CONCATENATE(E87,"x(235+75)/(235+",E86,")")</f>
        <v>45.72x(235+75)/(235+18)</v>
      </c>
      <c r="F88" s="276"/>
      <c r="G88" s="271" t="s">
        <v>332</v>
      </c>
      <c r="H88" s="277">
        <f>+E87*310/(235+E86)</f>
        <v>56.020553359683788</v>
      </c>
      <c r="I88" s="260" t="s">
        <v>339</v>
      </c>
    </row>
    <row r="90" spans="1:9" ht="14.1" customHeight="1">
      <c r="A90" s="264">
        <v>3</v>
      </c>
      <c r="B90" s="267" t="s">
        <v>366</v>
      </c>
    </row>
    <row r="92" spans="1:9" ht="14.1" customHeight="1">
      <c r="B92" s="270" t="s">
        <v>367</v>
      </c>
      <c r="C92" s="271" t="s">
        <v>332</v>
      </c>
      <c r="D92" s="260" t="s">
        <v>368</v>
      </c>
    </row>
    <row r="93" spans="1:9" ht="14.1" customHeight="1">
      <c r="B93" s="270" t="s">
        <v>369</v>
      </c>
      <c r="C93" s="271" t="s">
        <v>332</v>
      </c>
      <c r="D93" s="260" t="s">
        <v>370</v>
      </c>
    </row>
    <row r="94" spans="1:9" ht="14.1" customHeight="1">
      <c r="B94" s="270" t="s">
        <v>371</v>
      </c>
      <c r="C94" s="271" t="s">
        <v>332</v>
      </c>
      <c r="D94" s="260" t="s">
        <v>372</v>
      </c>
    </row>
    <row r="95" spans="1:9" ht="14.1" customHeight="1">
      <c r="B95" s="270" t="s">
        <v>373</v>
      </c>
      <c r="C95" s="271" t="s">
        <v>332</v>
      </c>
      <c r="D95" s="260" t="s">
        <v>374</v>
      </c>
    </row>
    <row r="96" spans="1:9" ht="14.1" customHeight="1">
      <c r="B96" s="270" t="s">
        <v>375</v>
      </c>
      <c r="C96" s="271" t="s">
        <v>332</v>
      </c>
      <c r="D96" s="260">
        <f>7475/25</f>
        <v>299</v>
      </c>
      <c r="E96" s="260" t="s">
        <v>376</v>
      </c>
    </row>
    <row r="97" spans="1:10" ht="14.1" customHeight="1">
      <c r="B97" s="270" t="s">
        <v>377</v>
      </c>
      <c r="C97" s="271" t="s">
        <v>332</v>
      </c>
      <c r="D97" s="260">
        <v>25</v>
      </c>
    </row>
    <row r="99" spans="1:10" ht="14.1" customHeight="1">
      <c r="B99" s="260" t="s">
        <v>378</v>
      </c>
      <c r="E99" s="271" t="s">
        <v>332</v>
      </c>
      <c r="F99" s="279" t="s">
        <v>379</v>
      </c>
      <c r="G99" s="279"/>
      <c r="H99" s="279"/>
    </row>
    <row r="100" spans="1:10" ht="14.1" customHeight="1">
      <c r="B100" s="260" t="s">
        <v>380</v>
      </c>
      <c r="E100" s="271" t="s">
        <v>332</v>
      </c>
      <c r="F100" s="279" t="s">
        <v>381</v>
      </c>
      <c r="G100" s="279"/>
    </row>
    <row r="102" spans="1:10" ht="14.1" customHeight="1">
      <c r="A102" s="274" t="s">
        <v>338</v>
      </c>
      <c r="B102" s="275" t="s">
        <v>382</v>
      </c>
    </row>
    <row r="103" spans="1:10" ht="14.1" customHeight="1">
      <c r="B103" s="271"/>
      <c r="C103" s="260" t="s">
        <v>383</v>
      </c>
      <c r="D103" s="271" t="s">
        <v>332</v>
      </c>
      <c r="E103" s="280" t="str">
        <f>CONCATENATE(input!E53,"x",input!$E$51,"/[0.5+.05.x(",input!C53,"x",input!$C$51,"/",input!D53,"/",input!$D$51,"/1.11)^2]")</f>
        <v>1.2x1000/[0.5+.05.x(80.5x10/80/9.01/1.11)^2]</v>
      </c>
      <c r="F103" s="280"/>
      <c r="G103" s="280"/>
      <c r="H103" s="276"/>
      <c r="I103" s="281"/>
    </row>
    <row r="104" spans="1:10" ht="14.1" customHeight="1">
      <c r="B104" s="271"/>
      <c r="D104" s="271" t="s">
        <v>332</v>
      </c>
      <c r="E104" s="282">
        <f>+input!E53*input!$E$51/(0.5+0.5*(input!C53*input!$C$51*input!C53*input!$C$51/input!D53/input!D53/input!$D$51/input!$D$51/1.11/1.11))</f>
        <v>1192.6554247517488</v>
      </c>
      <c r="F104" s="282" t="s">
        <v>384</v>
      </c>
      <c r="G104" s="282"/>
      <c r="H104" s="282"/>
    </row>
    <row r="105" spans="1:10" ht="14.1" customHeight="1">
      <c r="B105" s="271"/>
      <c r="C105" s="260" t="s">
        <v>385</v>
      </c>
      <c r="D105" s="271" t="s">
        <v>332</v>
      </c>
      <c r="E105" s="283" t="str">
        <f>+CONCATENATE(input!B53*input!$B$51,"x100/(",CALCULATION!$D$96,"x",CALCULATION!$D$97,")")</f>
        <v>9.5x100/(299x25)</v>
      </c>
      <c r="F105" s="283"/>
      <c r="G105" s="276" t="s">
        <v>332</v>
      </c>
      <c r="H105" s="284">
        <f>+input!B53*input!$B$51/CALCULATION!$D$96/CALCULATION!$D$97</f>
        <v>1.2709030100334449E-3</v>
      </c>
    </row>
    <row r="106" spans="1:10" ht="14.1" customHeight="1">
      <c r="A106" s="274" t="s">
        <v>340</v>
      </c>
      <c r="B106" s="275" t="s">
        <v>386</v>
      </c>
    </row>
    <row r="107" spans="1:10" ht="14.1" customHeight="1">
      <c r="B107" s="271"/>
      <c r="C107" s="260" t="s">
        <v>383</v>
      </c>
      <c r="D107" s="271" t="s">
        <v>332</v>
      </c>
      <c r="E107" s="280" t="str">
        <f>CONCATENATE(input!E54,"x",input!$E$51,"/[0.5+.05.x(",input!C54,"x",input!$C$51,"/",input!D54,"/",input!$D$51,"/1.11)^2]")</f>
        <v>1.9x1000/[0.5+.05.x(90.7x10/90/9.01/1.11)^2]</v>
      </c>
      <c r="F107" s="280"/>
      <c r="G107" s="280"/>
      <c r="H107" s="276"/>
      <c r="I107" s="285"/>
      <c r="J107" s="283"/>
    </row>
    <row r="108" spans="1:10" ht="14.1" customHeight="1">
      <c r="B108" s="271"/>
      <c r="D108" s="271" t="s">
        <v>332</v>
      </c>
      <c r="E108" s="282">
        <f>+input!E54*input!$E$51/(0.5+0.5*(input!C54*input!$C$51*input!C54*input!$C$51/input!D54/input!D54/input!$D$51/input!$D$51/1.11/1.11))</f>
        <v>1885.4886657719358</v>
      </c>
      <c r="F108" s="282" t="s">
        <v>384</v>
      </c>
      <c r="G108" s="282"/>
      <c r="H108" s="282"/>
      <c r="I108" s="283"/>
      <c r="J108" s="283"/>
    </row>
    <row r="109" spans="1:10" ht="14.1" customHeight="1">
      <c r="B109" s="271"/>
      <c r="C109" s="260" t="s">
        <v>385</v>
      </c>
      <c r="D109" s="271" t="s">
        <v>332</v>
      </c>
      <c r="E109" s="283" t="str">
        <f>+CONCATENATE(input!B54*input!$B$51,"x100/(",CALCULATION!$D$96,"x",CALCULATION!$D$97,")")</f>
        <v>17.7x100/(299x25)</v>
      </c>
      <c r="F109" s="283"/>
      <c r="G109" s="276" t="s">
        <v>332</v>
      </c>
      <c r="H109" s="286">
        <f>+input!B54*input!$B$51/CALCULATION!$D$96/CALCULATION!$D$97</f>
        <v>2.3678929765886285E-3</v>
      </c>
      <c r="I109" s="283"/>
      <c r="J109" s="283"/>
    </row>
    <row r="110" spans="1:10" ht="14.1" customHeight="1">
      <c r="A110" s="274" t="s">
        <v>341</v>
      </c>
      <c r="B110" s="275" t="s">
        <v>387</v>
      </c>
    </row>
    <row r="111" spans="1:10" ht="14.1" customHeight="1">
      <c r="B111" s="271"/>
      <c r="C111" s="283" t="s">
        <v>383</v>
      </c>
      <c r="D111" s="276" t="s">
        <v>332</v>
      </c>
      <c r="E111" s="280" t="str">
        <f>CONCATENATE(input!E55,"x",input!$E$51,"/[0.5+.05.x(",input!C55,"x",input!$C$51,"/",input!D55,"/",input!$D$51,"/1.11)^2]")</f>
        <v>2.8x1000/[0.5+.05.x(100.6x10/100/9.01/1.11)^2]</v>
      </c>
      <c r="F111" s="280"/>
      <c r="G111" s="280"/>
      <c r="H111" s="276"/>
      <c r="I111" s="281"/>
    </row>
    <row r="112" spans="1:10" ht="14.1" customHeight="1">
      <c r="B112" s="271"/>
      <c r="C112" s="283"/>
      <c r="D112" s="276" t="s">
        <v>332</v>
      </c>
      <c r="E112" s="282">
        <f>+input!E55*input!$E$51/(0.5+0.5*(input!C55*input!$C$51*input!C55*input!$C$51/input!D55/input!D55/input!$D$51/input!$D$51/1.11/1.11))</f>
        <v>2783.5583713399014</v>
      </c>
      <c r="F112" s="282" t="s">
        <v>384</v>
      </c>
      <c r="G112" s="282"/>
      <c r="H112" s="282"/>
    </row>
    <row r="113" spans="1:10" ht="14.1" customHeight="1">
      <c r="B113" s="271"/>
      <c r="C113" s="283" t="s">
        <v>385</v>
      </c>
      <c r="D113" s="276" t="s">
        <v>332</v>
      </c>
      <c r="E113" s="283" t="str">
        <f>+CONCATENATE(input!B55*input!$B$51,"x100/(",CALCULATION!$D$96,"x",CALCULATION!$D$97,")")</f>
        <v>28.6x100/(299x25)</v>
      </c>
      <c r="F113" s="283"/>
      <c r="G113" s="276" t="s">
        <v>332</v>
      </c>
      <c r="H113" s="284">
        <f>+input!B55*input!$B$51/CALCULATION!$D$96/CALCULATION!$D$97</f>
        <v>3.8260869565217388E-3</v>
      </c>
    </row>
    <row r="114" spans="1:10" ht="14.1" customHeight="1">
      <c r="A114" s="274" t="s">
        <v>343</v>
      </c>
      <c r="B114" s="275" t="s">
        <v>388</v>
      </c>
    </row>
    <row r="115" spans="1:10" ht="14.1" customHeight="1">
      <c r="C115" s="283" t="s">
        <v>383</v>
      </c>
      <c r="D115" s="276" t="s">
        <v>332</v>
      </c>
      <c r="E115" s="280" t="str">
        <f>CONCATENATE(input!E56,"x",input!$E$51,"/[0.5+.05.x(",input!C56,"x",input!$C$51,"/",input!D56,"/",input!$D$51,"/1.11)^2]")</f>
        <v>4.2x1000/[0.5+.05.x(112.2x10/110/9.01/1.11)^2]</v>
      </c>
      <c r="F115" s="280"/>
      <c r="G115" s="280"/>
      <c r="H115" s="276"/>
      <c r="I115" s="281"/>
      <c r="J115" s="283"/>
    </row>
    <row r="116" spans="1:10" ht="14.1" customHeight="1">
      <c r="C116" s="283"/>
      <c r="D116" s="276" t="s">
        <v>332</v>
      </c>
      <c r="E116" s="282">
        <f>+input!E56*input!$E$51/(0.5+0.5*(input!C56*input!$C$51*input!C56*input!$C$51/input!D56/input!D56/input!$D$51/input!$D$51/1.11/1.11))</f>
        <v>4117.3016298089069</v>
      </c>
      <c r="F116" s="282" t="s">
        <v>384</v>
      </c>
      <c r="G116" s="282"/>
      <c r="H116" s="282"/>
      <c r="J116" s="283"/>
    </row>
    <row r="117" spans="1:10" ht="14.1" customHeight="1">
      <c r="C117" s="283" t="s">
        <v>385</v>
      </c>
      <c r="D117" s="276" t="s">
        <v>332</v>
      </c>
      <c r="E117" s="283" t="str">
        <f>+CONCATENATE(input!B56*input!$B$51,"x100/(",CALCULATION!$D$96,"x",CALCULATION!$D$97,")")</f>
        <v>51.9x100/(299x25)</v>
      </c>
      <c r="F117" s="283"/>
      <c r="G117" s="276" t="s">
        <v>332</v>
      </c>
      <c r="H117" s="284">
        <f>+input!B56*input!$B$51/CALCULATION!$D$96/CALCULATION!$D$97</f>
        <v>6.9431438127090291E-3</v>
      </c>
      <c r="J117" s="283"/>
    </row>
    <row r="119" spans="1:10" ht="14.1" customHeight="1">
      <c r="A119" s="264">
        <v>4</v>
      </c>
      <c r="B119" s="267" t="s">
        <v>389</v>
      </c>
    </row>
    <row r="121" spans="1:10" ht="14.1" customHeight="1">
      <c r="B121" s="270" t="s">
        <v>390</v>
      </c>
      <c r="C121" s="271" t="s">
        <v>332</v>
      </c>
      <c r="D121" s="260" t="s">
        <v>391</v>
      </c>
    </row>
    <row r="122" spans="1:10" ht="14.1" customHeight="1">
      <c r="B122" s="270" t="s">
        <v>392</v>
      </c>
      <c r="C122" s="271" t="s">
        <v>332</v>
      </c>
      <c r="D122" s="260" t="s">
        <v>393</v>
      </c>
    </row>
    <row r="123" spans="1:10" ht="14.1" customHeight="1">
      <c r="B123" s="270" t="s">
        <v>394</v>
      </c>
      <c r="C123" s="271" t="s">
        <v>332</v>
      </c>
      <c r="D123" s="260" t="s">
        <v>395</v>
      </c>
    </row>
    <row r="124" spans="1:10" ht="14.1" customHeight="1">
      <c r="B124" s="270" t="s">
        <v>396</v>
      </c>
      <c r="C124" s="271" t="s">
        <v>332</v>
      </c>
      <c r="D124" s="260" t="s">
        <v>397</v>
      </c>
    </row>
    <row r="125" spans="1:10" ht="14.1" customHeight="1">
      <c r="B125" s="287" t="s">
        <v>398</v>
      </c>
      <c r="C125" s="271" t="s">
        <v>332</v>
      </c>
      <c r="D125" s="260" t="s">
        <v>333</v>
      </c>
    </row>
    <row r="126" spans="1:10" ht="14.1" customHeight="1">
      <c r="B126" s="270" t="s">
        <v>399</v>
      </c>
      <c r="C126" s="271" t="s">
        <v>332</v>
      </c>
      <c r="D126" s="260" t="s">
        <v>400</v>
      </c>
    </row>
    <row r="127" spans="1:10" ht="14.1" customHeight="1">
      <c r="B127" s="270" t="s">
        <v>401</v>
      </c>
      <c r="C127" s="271" t="s">
        <v>332</v>
      </c>
      <c r="D127" s="260" t="s">
        <v>402</v>
      </c>
    </row>
    <row r="128" spans="1:10" ht="14.1" customHeight="1">
      <c r="B128" s="270"/>
      <c r="C128" s="271"/>
    </row>
    <row r="129" spans="1:8" ht="14.1" customHeight="1">
      <c r="B129" s="260" t="s">
        <v>403</v>
      </c>
      <c r="F129" s="260" t="s">
        <v>332</v>
      </c>
      <c r="G129" s="260" t="s">
        <v>404</v>
      </c>
    </row>
    <row r="130" spans="1:8" ht="14.1" customHeight="1">
      <c r="B130" s="260" t="s">
        <v>405</v>
      </c>
      <c r="E130" s="260" t="s">
        <v>406</v>
      </c>
      <c r="F130" s="260" t="s">
        <v>332</v>
      </c>
      <c r="G130" s="260" t="s">
        <v>407</v>
      </c>
    </row>
    <row r="131" spans="1:8" ht="14.1" customHeight="1">
      <c r="B131" s="260" t="s">
        <v>408</v>
      </c>
      <c r="C131" s="260" t="s">
        <v>406</v>
      </c>
      <c r="F131" s="260" t="s">
        <v>332</v>
      </c>
      <c r="G131" s="260" t="s">
        <v>409</v>
      </c>
    </row>
    <row r="132" spans="1:8" ht="14.1" customHeight="1">
      <c r="B132" s="260" t="s">
        <v>408</v>
      </c>
      <c r="C132" s="260" t="s">
        <v>410</v>
      </c>
      <c r="F132" s="260" t="s">
        <v>332</v>
      </c>
      <c r="G132" s="260" t="s">
        <v>411</v>
      </c>
    </row>
    <row r="133" spans="1:8" ht="14.1" customHeight="1">
      <c r="B133" s="260" t="s">
        <v>405</v>
      </c>
      <c r="E133" s="260" t="s">
        <v>410</v>
      </c>
      <c r="F133" s="260" t="s">
        <v>332</v>
      </c>
      <c r="G133" s="260" t="s">
        <v>412</v>
      </c>
    </row>
    <row r="134" spans="1:8" ht="14.1" customHeight="1">
      <c r="B134" s="260" t="s">
        <v>413</v>
      </c>
      <c r="F134" s="260" t="s">
        <v>332</v>
      </c>
      <c r="G134" s="260" t="s">
        <v>414</v>
      </c>
    </row>
    <row r="136" spans="1:8" ht="14.1" customHeight="1">
      <c r="B136" s="260" t="s">
        <v>415</v>
      </c>
      <c r="F136" s="260" t="s">
        <v>332</v>
      </c>
      <c r="G136" s="280" t="s">
        <v>416</v>
      </c>
    </row>
    <row r="138" spans="1:8" ht="14.1" customHeight="1">
      <c r="A138" s="274" t="s">
        <v>338</v>
      </c>
      <c r="B138" s="275" t="s">
        <v>417</v>
      </c>
      <c r="D138" s="275"/>
    </row>
    <row r="139" spans="1:8" ht="14.1" customHeight="1">
      <c r="B139" s="270" t="s">
        <v>418</v>
      </c>
      <c r="C139" s="271" t="s">
        <v>332</v>
      </c>
      <c r="D139" s="271">
        <f>1449/25</f>
        <v>57.96</v>
      </c>
      <c r="E139" s="271" t="s">
        <v>376</v>
      </c>
      <c r="F139" s="271"/>
      <c r="G139" s="271"/>
      <c r="H139" s="271"/>
    </row>
    <row r="140" spans="1:8" ht="14.1" customHeight="1">
      <c r="B140" s="270" t="s">
        <v>419</v>
      </c>
      <c r="C140" s="271" t="s">
        <v>332</v>
      </c>
      <c r="D140" s="271">
        <f>1449/1.269</f>
        <v>1141.8439716312057</v>
      </c>
      <c r="E140" s="271" t="s">
        <v>376</v>
      </c>
      <c r="F140" s="271"/>
      <c r="G140" s="271"/>
      <c r="H140" s="271"/>
    </row>
    <row r="141" spans="1:8" ht="14.1" customHeight="1">
      <c r="B141" s="270" t="s">
        <v>420</v>
      </c>
      <c r="C141" s="271" t="s">
        <v>332</v>
      </c>
      <c r="D141" s="271">
        <f>+E17</f>
        <v>496.7</v>
      </c>
      <c r="E141" s="271" t="s">
        <v>339</v>
      </c>
      <c r="F141" s="271" t="s">
        <v>421</v>
      </c>
      <c r="G141" s="271">
        <f>+E16</f>
        <v>18</v>
      </c>
      <c r="H141" s="272" t="s">
        <v>133</v>
      </c>
    </row>
    <row r="142" spans="1:8" ht="14.1" customHeight="1">
      <c r="B142" s="270" t="s">
        <v>422</v>
      </c>
      <c r="C142" s="271" t="s">
        <v>332</v>
      </c>
      <c r="D142" s="271">
        <f>+E21</f>
        <v>9.9670000000000005</v>
      </c>
      <c r="E142" s="271" t="s">
        <v>339</v>
      </c>
      <c r="F142" s="271" t="s">
        <v>421</v>
      </c>
      <c r="G142" s="271">
        <f>+G141</f>
        <v>18</v>
      </c>
      <c r="H142" s="272" t="s">
        <v>133</v>
      </c>
    </row>
    <row r="143" spans="1:8" ht="14.1" customHeight="1">
      <c r="B143" s="270" t="s">
        <v>401</v>
      </c>
      <c r="C143" s="271" t="s">
        <v>332</v>
      </c>
      <c r="D143" s="271">
        <f>+input!D64*input!D63</f>
        <v>16500</v>
      </c>
      <c r="E143" s="271"/>
      <c r="F143" s="271" t="s">
        <v>421</v>
      </c>
      <c r="G143" s="271">
        <f>+input!E61</f>
        <v>20</v>
      </c>
      <c r="H143" s="272" t="s">
        <v>133</v>
      </c>
    </row>
    <row r="144" spans="1:8" ht="14.1" customHeight="1">
      <c r="B144" s="270" t="s">
        <v>392</v>
      </c>
      <c r="C144" s="271" t="s">
        <v>332</v>
      </c>
      <c r="D144" s="271">
        <f>+input!B64*input!B63</f>
        <v>36</v>
      </c>
      <c r="E144" s="271" t="s">
        <v>376</v>
      </c>
      <c r="F144" s="271"/>
      <c r="G144" s="271"/>
      <c r="H144" s="271"/>
    </row>
    <row r="145" spans="2:10" ht="14.1" customHeight="1">
      <c r="B145" s="270" t="s">
        <v>396</v>
      </c>
      <c r="C145" s="271" t="s">
        <v>332</v>
      </c>
      <c r="D145" s="271">
        <f>+input!C64*input!C63</f>
        <v>8990</v>
      </c>
      <c r="E145" s="271" t="s">
        <v>423</v>
      </c>
      <c r="F145" s="271"/>
      <c r="G145" s="271"/>
      <c r="H145" s="271"/>
    </row>
    <row r="146" spans="2:10" ht="14.1" customHeight="1">
      <c r="B146" s="270" t="s">
        <v>394</v>
      </c>
      <c r="C146" s="271" t="s">
        <v>332</v>
      </c>
      <c r="D146" s="271">
        <v>25000</v>
      </c>
      <c r="E146" s="271" t="s">
        <v>423</v>
      </c>
      <c r="F146" s="271"/>
      <c r="G146" s="271"/>
      <c r="H146" s="271"/>
    </row>
    <row r="147" spans="2:10" ht="14.1" customHeight="1">
      <c r="B147" s="270"/>
      <c r="C147" s="271"/>
      <c r="D147" s="271"/>
      <c r="E147" s="271"/>
      <c r="F147" s="271"/>
      <c r="G147" s="271"/>
      <c r="H147" s="271"/>
    </row>
    <row r="148" spans="2:10" ht="14.1" customHeight="1">
      <c r="B148" s="270" t="s">
        <v>424</v>
      </c>
      <c r="C148" s="271" t="s">
        <v>332</v>
      </c>
      <c r="D148" s="260" t="str">
        <f>+CONCATENATE("(",D139,"/",D144,")^2 x ", D143)</f>
        <v>(57.96/36)^2 x 16500</v>
      </c>
      <c r="F148" s="271" t="s">
        <v>332</v>
      </c>
      <c r="G148" s="281">
        <f>+D139*D139*D143/D144/D144</f>
        <v>42769.65</v>
      </c>
      <c r="H148" s="260" t="s">
        <v>384</v>
      </c>
    </row>
    <row r="149" spans="2:10" ht="14.1" customHeight="1">
      <c r="B149" s="270" t="s">
        <v>425</v>
      </c>
      <c r="C149" s="271" t="s">
        <v>332</v>
      </c>
      <c r="D149" s="260" t="str">
        <f>+CONCATENATE(D139,"x",D139,"x",D141,"x(235+",G143,")/(235+",G141,")/1000")</f>
        <v>57.96x57.96x496.7x(235+20)/(235+18)/1000</v>
      </c>
    </row>
    <row r="150" spans="2:10" ht="14.1" customHeight="1">
      <c r="B150" s="270"/>
      <c r="C150" s="271" t="s">
        <v>332</v>
      </c>
      <c r="D150" s="281">
        <f>+D139*D139*D141*(235+G143)/(235+G141)/1000</f>
        <v>1681.7853802909092</v>
      </c>
      <c r="E150" s="260" t="s">
        <v>384</v>
      </c>
    </row>
    <row r="151" spans="2:10" ht="14.1" customHeight="1">
      <c r="B151" s="270" t="s">
        <v>426</v>
      </c>
      <c r="C151" s="271" t="s">
        <v>332</v>
      </c>
      <c r="D151" s="260" t="str">
        <f>+CONCATENATE(ROUND(D140,1),"x",ROUND(D140,1),"x",D142,"x(235+",G143,")/(235+",G142,")/1000")</f>
        <v>1141.8x1141.8x9.967x(235+20)/(235+18)/1000</v>
      </c>
    </row>
    <row r="152" spans="2:10" ht="14.1" customHeight="1">
      <c r="B152" s="270"/>
      <c r="C152" s="271" t="s">
        <v>332</v>
      </c>
      <c r="D152" s="281">
        <f>+D140*D140*D142*(235+G143)/(235+G142)/1000</f>
        <v>13097.778577993609</v>
      </c>
      <c r="E152" s="260" t="s">
        <v>384</v>
      </c>
    </row>
    <row r="153" spans="2:10" ht="14.1" customHeight="1">
      <c r="B153" s="270" t="s">
        <v>427</v>
      </c>
      <c r="C153" s="271" t="s">
        <v>332</v>
      </c>
      <c r="D153" s="260" t="str">
        <f>+CONCATENATE(ROUND(D150,1),"+",ROUND(D152,1))</f>
        <v>1681.8+13097.8</v>
      </c>
      <c r="F153" s="271" t="s">
        <v>332</v>
      </c>
      <c r="G153" s="281">
        <f>+D150+D152</f>
        <v>14779.563958284518</v>
      </c>
      <c r="H153" s="260" t="s">
        <v>384</v>
      </c>
    </row>
    <row r="154" spans="2:10" ht="14.1" customHeight="1">
      <c r="B154" s="270" t="s">
        <v>428</v>
      </c>
      <c r="C154" s="271" t="s">
        <v>332</v>
      </c>
      <c r="D154" s="260" t="str">
        <f>+CONCATENATE(ROUND(G148,1),"-",ROUND(G153,1))</f>
        <v>42769.7-14779.6</v>
      </c>
      <c r="F154" s="271" t="s">
        <v>332</v>
      </c>
      <c r="G154" s="281">
        <f>+G148-G153</f>
        <v>27990.086041715484</v>
      </c>
      <c r="H154" s="271" t="s">
        <v>421</v>
      </c>
      <c r="I154" s="271">
        <f>+G143</f>
        <v>20</v>
      </c>
      <c r="J154" s="260" t="s">
        <v>133</v>
      </c>
    </row>
    <row r="155" spans="2:10" ht="14.1" customHeight="1">
      <c r="B155" s="270" t="s">
        <v>428</v>
      </c>
      <c r="C155" s="271" t="s">
        <v>332</v>
      </c>
      <c r="D155" s="260" t="str">
        <f>+CONCATENATE(ROUND(G154,1),"x(235+",I154,")/(235+75)")</f>
        <v>27990.1x(235+20)/(235+75)</v>
      </c>
      <c r="H155" s="271"/>
      <c r="I155" s="271"/>
    </row>
    <row r="156" spans="2:10" ht="14.1" customHeight="1">
      <c r="B156" s="270"/>
      <c r="C156" s="271" t="s">
        <v>332</v>
      </c>
      <c r="D156" s="260">
        <f>+G154*(235+I154)/310</f>
        <v>23024.103034314347</v>
      </c>
      <c r="E156" s="260" t="s">
        <v>384</v>
      </c>
      <c r="H156" s="271" t="s">
        <v>421</v>
      </c>
      <c r="I156" s="271">
        <v>75</v>
      </c>
      <c r="J156" s="260" t="s">
        <v>133</v>
      </c>
    </row>
    <row r="157" spans="2:10" ht="14.1" customHeight="1">
      <c r="B157" s="270" t="s">
        <v>427</v>
      </c>
      <c r="C157" s="271" t="s">
        <v>332</v>
      </c>
      <c r="D157" s="260" t="str">
        <f>+CONCATENATE(ROUND(G153,1),"x(235+75)/(235+",I154,")")</f>
        <v>14779.6x(235+75)/(235+20)</v>
      </c>
      <c r="H157" s="271"/>
      <c r="I157" s="271"/>
    </row>
    <row r="158" spans="2:10" ht="14.1" customHeight="1">
      <c r="B158" s="270"/>
      <c r="C158" s="271" t="s">
        <v>332</v>
      </c>
      <c r="D158" s="260">
        <f>+G153*310/(235+I154)</f>
        <v>17967.313047326275</v>
      </c>
      <c r="E158" s="260" t="s">
        <v>384</v>
      </c>
      <c r="H158" s="271" t="s">
        <v>421</v>
      </c>
      <c r="I158" s="271">
        <v>75</v>
      </c>
      <c r="J158" s="260" t="s">
        <v>133</v>
      </c>
    </row>
    <row r="159" spans="2:10" ht="14.1" customHeight="1">
      <c r="B159" s="270"/>
      <c r="C159" s="271"/>
    </row>
    <row r="160" spans="2:10" ht="14.1" customHeight="1">
      <c r="B160" s="270" t="s">
        <v>429</v>
      </c>
      <c r="C160" s="271" t="s">
        <v>332</v>
      </c>
      <c r="D160" s="260" t="str">
        <f>+CONCATENATE(ROUND(D158,1),"+",ROUND(D156,1))</f>
        <v>17967.3+23024.1</v>
      </c>
      <c r="F160" s="271" t="s">
        <v>332</v>
      </c>
      <c r="G160" s="281">
        <f>+D158+D156</f>
        <v>40991.416081640622</v>
      </c>
      <c r="H160" s="260" t="s">
        <v>384</v>
      </c>
      <c r="I160" s="260" t="s">
        <v>430</v>
      </c>
    </row>
    <row r="161" spans="1:8" ht="14.1" customHeight="1">
      <c r="F161" s="271"/>
    </row>
    <row r="162" spans="1:8" ht="14.1" customHeight="1">
      <c r="B162" s="270" t="s">
        <v>431</v>
      </c>
      <c r="C162" s="271" t="s">
        <v>332</v>
      </c>
      <c r="D162" s="272" t="str">
        <f>+CONCATENATE(D145,"X",D139,"/(",D146,"x",D144,")")</f>
        <v>8990X57.96/(25000x36)</v>
      </c>
      <c r="F162" s="271" t="s">
        <v>332</v>
      </c>
      <c r="G162" s="288">
        <f>D145*D139/D146/D144</f>
        <v>0.57895600000000003</v>
      </c>
    </row>
    <row r="164" spans="1:8" ht="14.1" customHeight="1">
      <c r="A164" s="274" t="s">
        <v>340</v>
      </c>
      <c r="B164" s="275" t="s">
        <v>432</v>
      </c>
      <c r="D164" s="275"/>
    </row>
    <row r="165" spans="1:8" ht="14.1" customHeight="1">
      <c r="B165" s="270" t="s">
        <v>418</v>
      </c>
      <c r="C165" s="271" t="s">
        <v>332</v>
      </c>
      <c r="D165" s="271">
        <f>1449/25</f>
        <v>57.96</v>
      </c>
      <c r="E165" s="271" t="s">
        <v>376</v>
      </c>
      <c r="F165" s="271"/>
      <c r="G165" s="271"/>
      <c r="H165" s="271"/>
    </row>
    <row r="166" spans="1:8" ht="14.1" customHeight="1">
      <c r="B166" s="270" t="s">
        <v>419</v>
      </c>
      <c r="C166" s="271" t="s">
        <v>332</v>
      </c>
      <c r="D166" s="271">
        <f>1449/1.269</f>
        <v>1141.8439716312057</v>
      </c>
      <c r="E166" s="271" t="s">
        <v>376</v>
      </c>
      <c r="F166" s="271"/>
      <c r="G166" s="271"/>
      <c r="H166" s="271"/>
    </row>
    <row r="167" spans="1:8" ht="14.1" customHeight="1">
      <c r="B167" s="270" t="s">
        <v>420</v>
      </c>
      <c r="C167" s="271" t="s">
        <v>332</v>
      </c>
      <c r="D167" s="271">
        <f>+D141</f>
        <v>496.7</v>
      </c>
      <c r="E167" s="271" t="s">
        <v>339</v>
      </c>
      <c r="F167" s="271" t="s">
        <v>421</v>
      </c>
      <c r="G167" s="271">
        <f>+G141</f>
        <v>18</v>
      </c>
      <c r="H167" s="272" t="s">
        <v>133</v>
      </c>
    </row>
    <row r="168" spans="1:8" ht="14.1" customHeight="1">
      <c r="B168" s="270" t="s">
        <v>433</v>
      </c>
      <c r="C168" s="271" t="s">
        <v>332</v>
      </c>
      <c r="D168" s="271">
        <f>+E25</f>
        <v>9.4369999999999994</v>
      </c>
      <c r="E168" s="271" t="s">
        <v>339</v>
      </c>
      <c r="F168" s="271" t="s">
        <v>421</v>
      </c>
      <c r="G168" s="271">
        <f>+G167</f>
        <v>18</v>
      </c>
      <c r="H168" s="272" t="s">
        <v>133</v>
      </c>
    </row>
    <row r="169" spans="1:8" ht="14.1" customHeight="1">
      <c r="B169" s="270" t="s">
        <v>401</v>
      </c>
      <c r="C169" s="271" t="s">
        <v>332</v>
      </c>
      <c r="D169" s="271">
        <f>+input!D65*input!D63</f>
        <v>16500</v>
      </c>
      <c r="E169" s="271"/>
      <c r="F169" s="271" t="s">
        <v>421</v>
      </c>
      <c r="G169" s="271">
        <f>+G143</f>
        <v>20</v>
      </c>
      <c r="H169" s="272" t="s">
        <v>133</v>
      </c>
    </row>
    <row r="170" spans="1:8" ht="14.1" customHeight="1">
      <c r="B170" s="270" t="s">
        <v>392</v>
      </c>
      <c r="C170" s="271" t="s">
        <v>332</v>
      </c>
      <c r="D170" s="271">
        <f>+input!B65*input!B63</f>
        <v>36</v>
      </c>
      <c r="E170" s="271" t="s">
        <v>376</v>
      </c>
      <c r="F170" s="271"/>
      <c r="G170" s="271"/>
      <c r="H170" s="271"/>
    </row>
    <row r="171" spans="1:8" ht="14.1" customHeight="1">
      <c r="B171" s="270" t="s">
        <v>396</v>
      </c>
      <c r="C171" s="271" t="s">
        <v>332</v>
      </c>
      <c r="D171" s="271">
        <f>+input!C65*input!C63</f>
        <v>9030</v>
      </c>
      <c r="E171" s="271" t="s">
        <v>423</v>
      </c>
      <c r="F171" s="271"/>
      <c r="G171" s="271"/>
      <c r="H171" s="271"/>
    </row>
    <row r="172" spans="1:8" ht="14.1" customHeight="1">
      <c r="B172" s="270" t="s">
        <v>394</v>
      </c>
      <c r="C172" s="271" t="s">
        <v>332</v>
      </c>
      <c r="D172" s="271">
        <v>25000</v>
      </c>
      <c r="E172" s="271" t="s">
        <v>423</v>
      </c>
      <c r="F172" s="271"/>
      <c r="G172" s="271"/>
      <c r="H172" s="271"/>
    </row>
    <row r="173" spans="1:8" ht="14.1" customHeight="1">
      <c r="B173" s="270"/>
      <c r="C173" s="271"/>
      <c r="D173" s="271"/>
      <c r="E173" s="271"/>
      <c r="F173" s="271"/>
      <c r="G173" s="271"/>
      <c r="H173" s="271"/>
    </row>
    <row r="174" spans="1:8" ht="14.1" customHeight="1">
      <c r="B174" s="270" t="s">
        <v>424</v>
      </c>
      <c r="C174" s="271" t="s">
        <v>332</v>
      </c>
      <c r="D174" s="260" t="str">
        <f>+CONCATENATE("(",D165,"/",D170,")^2 x ", D169)</f>
        <v>(57.96/36)^2 x 16500</v>
      </c>
      <c r="F174" s="271" t="s">
        <v>332</v>
      </c>
      <c r="G174" s="281">
        <f>+D165*D165*D169/D170/D170</f>
        <v>42769.65</v>
      </c>
      <c r="H174" s="260" t="s">
        <v>384</v>
      </c>
    </row>
    <row r="175" spans="1:8" ht="14.1" customHeight="1">
      <c r="B175" s="270" t="s">
        <v>425</v>
      </c>
      <c r="C175" s="271" t="s">
        <v>332</v>
      </c>
      <c r="D175" s="260" t="str">
        <f>+CONCATENATE(D165,"x",D165,"x",D167,"x(235+",G169,")/(235+",G167,")/1000")</f>
        <v>57.96x57.96x496.7x(235+20)/(235+18)/1000</v>
      </c>
    </row>
    <row r="176" spans="1:8" ht="14.1" customHeight="1">
      <c r="B176" s="270"/>
      <c r="C176" s="271" t="s">
        <v>332</v>
      </c>
      <c r="D176" s="281">
        <f>+D165*D165*D167*(235+G169)/(235+G167)/1000</f>
        <v>1681.7853802909092</v>
      </c>
      <c r="E176" s="260" t="s">
        <v>384</v>
      </c>
    </row>
    <row r="177" spans="1:10" ht="14.1" customHeight="1">
      <c r="B177" s="270" t="s">
        <v>426</v>
      </c>
      <c r="C177" s="271" t="s">
        <v>332</v>
      </c>
      <c r="D177" s="260" t="str">
        <f>+CONCATENATE(ROUND(D166,1),"x",ROUND(D166,1),"x",D168,"x(235+",G169,")/(235+",G168,")/1000")</f>
        <v>1141.8x1141.8x9.437x(235+20)/(235+18)/1000</v>
      </c>
    </row>
    <row r="178" spans="1:10" ht="14.1" customHeight="1">
      <c r="B178" s="270"/>
      <c r="C178" s="271" t="s">
        <v>332</v>
      </c>
      <c r="D178" s="281">
        <f>+D166*D166*D168*(235+G169)/(235+G168)/1000</f>
        <v>12401.297927212368</v>
      </c>
      <c r="E178" s="260" t="s">
        <v>384</v>
      </c>
    </row>
    <row r="179" spans="1:10" ht="14.1" customHeight="1">
      <c r="B179" s="270" t="s">
        <v>427</v>
      </c>
      <c r="C179" s="271" t="s">
        <v>332</v>
      </c>
      <c r="D179" s="260" t="str">
        <f>+CONCATENATE(ROUND(D176,1),"+",ROUND(D178,1))</f>
        <v>1681.8+12401.3</v>
      </c>
      <c r="F179" s="271" t="s">
        <v>332</v>
      </c>
      <c r="G179" s="281">
        <f>+D176+D178</f>
        <v>14083.083307503277</v>
      </c>
      <c r="H179" s="260" t="s">
        <v>384</v>
      </c>
    </row>
    <row r="180" spans="1:10" ht="14.1" customHeight="1">
      <c r="B180" s="270" t="s">
        <v>428</v>
      </c>
      <c r="C180" s="271" t="s">
        <v>332</v>
      </c>
      <c r="D180" s="260" t="str">
        <f>+CONCATENATE(ROUND(G174,1),"-",ROUND(G179,1))</f>
        <v>42769.7-14083.1</v>
      </c>
      <c r="F180" s="271" t="s">
        <v>332</v>
      </c>
      <c r="G180" s="281">
        <f>+G174-G179</f>
        <v>28686.566692496723</v>
      </c>
      <c r="H180" s="271" t="s">
        <v>421</v>
      </c>
      <c r="I180" s="271">
        <f>+G169</f>
        <v>20</v>
      </c>
      <c r="J180" s="260" t="s">
        <v>133</v>
      </c>
    </row>
    <row r="181" spans="1:10" ht="14.1" customHeight="1">
      <c r="B181" s="270" t="s">
        <v>428</v>
      </c>
      <c r="C181" s="271" t="s">
        <v>332</v>
      </c>
      <c r="D181" s="260" t="str">
        <f>+CONCATENATE(ROUND(G180,1),"x(235+",I180,")/(235+75)")</f>
        <v>28686.6x(235+20)/(235+75)</v>
      </c>
      <c r="H181" s="271"/>
      <c r="I181" s="271"/>
    </row>
    <row r="182" spans="1:10" ht="14.1" customHeight="1">
      <c r="B182" s="270"/>
      <c r="C182" s="271" t="s">
        <v>332</v>
      </c>
      <c r="D182" s="260">
        <f>+G180*(235+I180)/310</f>
        <v>23597.014537376337</v>
      </c>
      <c r="E182" s="260" t="s">
        <v>384</v>
      </c>
      <c r="H182" s="271" t="s">
        <v>421</v>
      </c>
      <c r="I182" s="271">
        <v>75</v>
      </c>
      <c r="J182" s="260" t="s">
        <v>133</v>
      </c>
    </row>
    <row r="183" spans="1:10" ht="14.1" customHeight="1">
      <c r="B183" s="270" t="s">
        <v>427</v>
      </c>
      <c r="C183" s="271" t="s">
        <v>332</v>
      </c>
      <c r="D183" s="260" t="str">
        <f>+CONCATENATE(ROUND(G179,1),"x(235+75)/(235+",I180,")")</f>
        <v>14083.1x(235+75)/(235+20)</v>
      </c>
      <c r="H183" s="271"/>
      <c r="I183" s="271"/>
    </row>
    <row r="184" spans="1:10" ht="14.1" customHeight="1">
      <c r="B184" s="270"/>
      <c r="C184" s="271" t="s">
        <v>332</v>
      </c>
      <c r="D184" s="260">
        <f>+G179*310/(235+I180)</f>
        <v>17120.611079709866</v>
      </c>
      <c r="E184" s="260" t="s">
        <v>384</v>
      </c>
      <c r="H184" s="271" t="s">
        <v>421</v>
      </c>
      <c r="I184" s="271">
        <v>75</v>
      </c>
      <c r="J184" s="260" t="s">
        <v>133</v>
      </c>
    </row>
    <row r="185" spans="1:10" ht="14.1" customHeight="1">
      <c r="B185" s="270"/>
      <c r="C185" s="271"/>
    </row>
    <row r="186" spans="1:10" ht="14.1" customHeight="1">
      <c r="B186" s="270" t="s">
        <v>429</v>
      </c>
      <c r="C186" s="271" t="s">
        <v>332</v>
      </c>
      <c r="D186" s="260" t="str">
        <f>+CONCATENATE(ROUND(D184,1),"+",ROUND(D182,1))</f>
        <v>17120.6+23597</v>
      </c>
      <c r="F186" s="271" t="s">
        <v>332</v>
      </c>
      <c r="G186" s="281">
        <f>+D184+D182</f>
        <v>40717.625617086203</v>
      </c>
      <c r="H186" s="260" t="s">
        <v>384</v>
      </c>
      <c r="I186" s="260" t="s">
        <v>430</v>
      </c>
    </row>
    <row r="187" spans="1:10" ht="14.1" customHeight="1">
      <c r="F187" s="271"/>
    </row>
    <row r="188" spans="1:10" ht="14.1" customHeight="1">
      <c r="B188" s="270" t="s">
        <v>431</v>
      </c>
      <c r="C188" s="271" t="s">
        <v>332</v>
      </c>
      <c r="D188" s="272" t="str">
        <f>+CONCATENATE(D171,"X",D165,"/(",D172,"x",D170,")")</f>
        <v>9030X57.96/(25000x36)</v>
      </c>
      <c r="F188" s="271" t="s">
        <v>332</v>
      </c>
      <c r="G188" s="288">
        <f>D171*D165/D172/D170</f>
        <v>0.58153199999999994</v>
      </c>
    </row>
    <row r="190" spans="1:10" ht="14.1" customHeight="1">
      <c r="A190" s="274" t="s">
        <v>341</v>
      </c>
      <c r="B190" s="275" t="s">
        <v>434</v>
      </c>
      <c r="D190" s="275"/>
    </row>
    <row r="191" spans="1:10" ht="14.1" customHeight="1">
      <c r="B191" s="270" t="s">
        <v>418</v>
      </c>
      <c r="C191" s="271" t="s">
        <v>332</v>
      </c>
      <c r="D191" s="271">
        <f>1449/25</f>
        <v>57.96</v>
      </c>
      <c r="E191" s="271" t="s">
        <v>376</v>
      </c>
      <c r="F191" s="271"/>
      <c r="G191" s="271"/>
      <c r="H191" s="271"/>
    </row>
    <row r="192" spans="1:10" ht="14.1" customHeight="1">
      <c r="B192" s="270" t="s">
        <v>419</v>
      </c>
      <c r="C192" s="271" t="s">
        <v>332</v>
      </c>
      <c r="D192" s="271">
        <f>1449/1.269</f>
        <v>1141.8439716312057</v>
      </c>
      <c r="E192" s="271" t="s">
        <v>376</v>
      </c>
      <c r="F192" s="271"/>
      <c r="G192" s="271"/>
      <c r="H192" s="271"/>
    </row>
    <row r="193" spans="2:10" ht="14.1" customHeight="1">
      <c r="B193" s="270" t="s">
        <v>420</v>
      </c>
      <c r="C193" s="271" t="s">
        <v>332</v>
      </c>
      <c r="D193" s="271">
        <f>+D167</f>
        <v>496.7</v>
      </c>
      <c r="E193" s="271" t="s">
        <v>339</v>
      </c>
      <c r="F193" s="271" t="s">
        <v>421</v>
      </c>
      <c r="G193" s="271">
        <f>+G167</f>
        <v>18</v>
      </c>
      <c r="H193" s="272" t="s">
        <v>133</v>
      </c>
    </row>
    <row r="194" spans="2:10" ht="14.1" customHeight="1">
      <c r="B194" s="270" t="s">
        <v>435</v>
      </c>
      <c r="C194" s="271" t="s">
        <v>332</v>
      </c>
      <c r="D194" s="271">
        <f>+E29</f>
        <v>9.2720000000000002</v>
      </c>
      <c r="E194" s="271" t="s">
        <v>339</v>
      </c>
      <c r="F194" s="271" t="s">
        <v>421</v>
      </c>
      <c r="G194" s="271">
        <f>+G193</f>
        <v>18</v>
      </c>
      <c r="H194" s="272" t="s">
        <v>133</v>
      </c>
    </row>
    <row r="195" spans="2:10" ht="14.1" customHeight="1">
      <c r="B195" s="270" t="s">
        <v>401</v>
      </c>
      <c r="C195" s="271" t="s">
        <v>332</v>
      </c>
      <c r="D195" s="271">
        <f>+input!D66*input!D63</f>
        <v>16500</v>
      </c>
      <c r="E195" s="271"/>
      <c r="F195" s="271" t="s">
        <v>421</v>
      </c>
      <c r="G195" s="271">
        <f>+G169</f>
        <v>20</v>
      </c>
      <c r="H195" s="272" t="s">
        <v>133</v>
      </c>
    </row>
    <row r="196" spans="2:10" ht="14.1" customHeight="1">
      <c r="B196" s="270" t="s">
        <v>392</v>
      </c>
      <c r="C196" s="271" t="s">
        <v>332</v>
      </c>
      <c r="D196" s="271">
        <f>+input!B66*input!B63</f>
        <v>36</v>
      </c>
      <c r="E196" s="271" t="s">
        <v>376</v>
      </c>
      <c r="F196" s="271"/>
      <c r="G196" s="271"/>
      <c r="H196" s="271"/>
    </row>
    <row r="197" spans="2:10" ht="14.1" customHeight="1">
      <c r="B197" s="270" t="s">
        <v>396</v>
      </c>
      <c r="C197" s="271" t="s">
        <v>332</v>
      </c>
      <c r="D197" s="271">
        <f>+input!C66*input!C63</f>
        <v>9020</v>
      </c>
      <c r="E197" s="271" t="s">
        <v>423</v>
      </c>
      <c r="F197" s="271"/>
      <c r="G197" s="271"/>
      <c r="H197" s="271"/>
    </row>
    <row r="198" spans="2:10" ht="14.1" customHeight="1">
      <c r="B198" s="270" t="s">
        <v>394</v>
      </c>
      <c r="C198" s="271" t="s">
        <v>332</v>
      </c>
      <c r="D198" s="271">
        <v>25000</v>
      </c>
      <c r="E198" s="271" t="s">
        <v>423</v>
      </c>
      <c r="F198" s="271"/>
      <c r="G198" s="271"/>
      <c r="H198" s="271"/>
    </row>
    <row r="199" spans="2:10" ht="14.1" customHeight="1">
      <c r="B199" s="270"/>
      <c r="C199" s="271"/>
      <c r="D199" s="271"/>
      <c r="E199" s="271"/>
      <c r="F199" s="271"/>
      <c r="G199" s="271"/>
      <c r="H199" s="271"/>
    </row>
    <row r="200" spans="2:10" ht="14.1" customHeight="1">
      <c r="B200" s="270" t="s">
        <v>424</v>
      </c>
      <c r="C200" s="271" t="s">
        <v>332</v>
      </c>
      <c r="D200" s="260" t="str">
        <f>+CONCATENATE("(",D191,"/",D196,")^2 x ", D195)</f>
        <v>(57.96/36)^2 x 16500</v>
      </c>
      <c r="F200" s="271" t="s">
        <v>332</v>
      </c>
      <c r="G200" s="281">
        <f>+D191*D191*D195/D196/D196</f>
        <v>42769.65</v>
      </c>
      <c r="H200" s="260" t="s">
        <v>384</v>
      </c>
    </row>
    <row r="201" spans="2:10" ht="14.1" customHeight="1">
      <c r="B201" s="270" t="s">
        <v>425</v>
      </c>
      <c r="C201" s="271" t="s">
        <v>332</v>
      </c>
      <c r="D201" s="260" t="str">
        <f>+CONCATENATE(D191,"x",D191,"x",D193,"x(235+",G195,")/(235+",G193,")/1000")</f>
        <v>57.96x57.96x496.7x(235+20)/(235+18)/1000</v>
      </c>
    </row>
    <row r="202" spans="2:10" ht="14.1" customHeight="1">
      <c r="B202" s="270"/>
      <c r="C202" s="271" t="s">
        <v>332</v>
      </c>
      <c r="D202" s="281">
        <f>+D191*D191*D193*(235+G195)/(235+G193)/1000</f>
        <v>1681.7853802909092</v>
      </c>
      <c r="E202" s="260" t="s">
        <v>384</v>
      </c>
    </row>
    <row r="203" spans="2:10" ht="14.1" customHeight="1">
      <c r="B203" s="270" t="s">
        <v>426</v>
      </c>
      <c r="C203" s="271" t="s">
        <v>332</v>
      </c>
      <c r="D203" s="260" t="str">
        <f>+CONCATENATE(ROUND(D192,1),"x",ROUND(D192,1),"x",D194,"x(235+",G195,")/(235+",G194,")/1000")</f>
        <v>1141.8x1141.8x9.272x(235+20)/(235+18)/1000</v>
      </c>
    </row>
    <row r="204" spans="2:10" ht="14.1" customHeight="1">
      <c r="B204" s="270"/>
      <c r="C204" s="271" t="s">
        <v>332</v>
      </c>
      <c r="D204" s="281">
        <f>+D192*D192*D194*(235+G195)/(235+G194)/1000</f>
        <v>12184.46904536538</v>
      </c>
      <c r="E204" s="260" t="s">
        <v>384</v>
      </c>
    </row>
    <row r="205" spans="2:10" ht="14.1" customHeight="1">
      <c r="B205" s="270" t="s">
        <v>427</v>
      </c>
      <c r="C205" s="271" t="s">
        <v>332</v>
      </c>
      <c r="D205" s="260" t="str">
        <f>+CONCATENATE(ROUND(D202,1),"+",ROUND(D204,1))</f>
        <v>1681.8+12184.5</v>
      </c>
      <c r="F205" s="271" t="s">
        <v>332</v>
      </c>
      <c r="G205" s="281">
        <f>+D202+D204</f>
        <v>13866.254425656289</v>
      </c>
      <c r="H205" s="260" t="s">
        <v>384</v>
      </c>
    </row>
    <row r="206" spans="2:10" ht="14.1" customHeight="1">
      <c r="B206" s="270" t="s">
        <v>428</v>
      </c>
      <c r="C206" s="271" t="s">
        <v>332</v>
      </c>
      <c r="D206" s="260" t="str">
        <f>+CONCATENATE(ROUND(G200,1),"-",ROUND(G205,1))</f>
        <v>42769.7-13866.3</v>
      </c>
      <c r="F206" s="271" t="s">
        <v>332</v>
      </c>
      <c r="G206" s="281">
        <f>+G200-G205</f>
        <v>28903.395574343711</v>
      </c>
      <c r="H206" s="271" t="s">
        <v>421</v>
      </c>
      <c r="I206" s="271">
        <f>+G195</f>
        <v>20</v>
      </c>
      <c r="J206" s="260" t="s">
        <v>133</v>
      </c>
    </row>
    <row r="207" spans="2:10" ht="14.1" customHeight="1">
      <c r="B207" s="270" t="s">
        <v>428</v>
      </c>
      <c r="C207" s="271" t="s">
        <v>332</v>
      </c>
      <c r="D207" s="260" t="str">
        <f>+CONCATENATE(ROUND(G206,1),"x(235+",I206,")/(235+75)")</f>
        <v>28903.4x(235+20)/(235+75)</v>
      </c>
      <c r="H207" s="271"/>
      <c r="I207" s="271"/>
    </row>
    <row r="208" spans="2:10" ht="14.1" customHeight="1">
      <c r="B208" s="270"/>
      <c r="C208" s="271" t="s">
        <v>332</v>
      </c>
      <c r="D208" s="260">
        <f>+G206*(235+I206)/310</f>
        <v>23775.373778895635</v>
      </c>
      <c r="E208" s="260" t="s">
        <v>384</v>
      </c>
      <c r="H208" s="271" t="s">
        <v>421</v>
      </c>
      <c r="I208" s="271">
        <v>75</v>
      </c>
      <c r="J208" s="260" t="s">
        <v>133</v>
      </c>
    </row>
    <row r="209" spans="1:10" ht="14.1" customHeight="1">
      <c r="B209" s="270" t="s">
        <v>427</v>
      </c>
      <c r="C209" s="271" t="s">
        <v>332</v>
      </c>
      <c r="D209" s="260" t="str">
        <f>+CONCATENATE(ROUND(G205,1),"x(235+75)/(235+",I206,")")</f>
        <v>13866.3x(235+75)/(235+20)</v>
      </c>
      <c r="H209" s="271"/>
      <c r="I209" s="271"/>
    </row>
    <row r="210" spans="1:10" ht="14.1" customHeight="1">
      <c r="B210" s="270"/>
      <c r="C210" s="271" t="s">
        <v>332</v>
      </c>
      <c r="D210" s="260">
        <f>+G205*310/(235+I206)</f>
        <v>16857.015184131174</v>
      </c>
      <c r="E210" s="260" t="s">
        <v>384</v>
      </c>
      <c r="H210" s="271" t="s">
        <v>421</v>
      </c>
      <c r="I210" s="271">
        <v>75</v>
      </c>
      <c r="J210" s="260" t="s">
        <v>133</v>
      </c>
    </row>
    <row r="211" spans="1:10" ht="14.1" customHeight="1">
      <c r="B211" s="270"/>
      <c r="C211" s="271"/>
    </row>
    <row r="212" spans="1:10" ht="14.1" customHeight="1">
      <c r="B212" s="270" t="s">
        <v>429</v>
      </c>
      <c r="C212" s="271" t="s">
        <v>332</v>
      </c>
      <c r="D212" s="260" t="str">
        <f>+CONCATENATE(ROUND(D210,1),"+",ROUND(D208,1))</f>
        <v>16857+23775.4</v>
      </c>
      <c r="F212" s="271" t="s">
        <v>332</v>
      </c>
      <c r="G212" s="281">
        <f>+D210+D208</f>
        <v>40632.38896302681</v>
      </c>
      <c r="H212" s="260" t="s">
        <v>384</v>
      </c>
      <c r="I212" s="260" t="s">
        <v>430</v>
      </c>
    </row>
    <row r="213" spans="1:10" ht="14.1" customHeight="1">
      <c r="F213" s="271"/>
    </row>
    <row r="214" spans="1:10" ht="14.1" customHeight="1">
      <c r="B214" s="270" t="s">
        <v>431</v>
      </c>
      <c r="C214" s="271" t="s">
        <v>332</v>
      </c>
      <c r="D214" s="272" t="str">
        <f>+CONCATENATE(D197,"X",D191,"/(",D198,"x",D196,")")</f>
        <v>9020X57.96/(25000x36)</v>
      </c>
      <c r="F214" s="271" t="s">
        <v>332</v>
      </c>
      <c r="G214" s="288">
        <f>D197*D191/D198/D196</f>
        <v>0.58088800000000007</v>
      </c>
    </row>
    <row r="216" spans="1:10" ht="14.1" customHeight="1">
      <c r="A216" s="274" t="s">
        <v>343</v>
      </c>
      <c r="B216" s="275" t="s">
        <v>436</v>
      </c>
      <c r="D216" s="275"/>
    </row>
    <row r="217" spans="1:10" ht="14.1" customHeight="1">
      <c r="B217" s="270" t="s">
        <v>418</v>
      </c>
      <c r="C217" s="271" t="s">
        <v>332</v>
      </c>
      <c r="D217" s="271">
        <f>1449/25</f>
        <v>57.96</v>
      </c>
      <c r="E217" s="271" t="s">
        <v>376</v>
      </c>
      <c r="F217" s="271"/>
      <c r="G217" s="271"/>
      <c r="H217" s="271"/>
    </row>
    <row r="218" spans="1:10" ht="14.1" customHeight="1">
      <c r="B218" s="270" t="s">
        <v>419</v>
      </c>
      <c r="C218" s="271" t="s">
        <v>332</v>
      </c>
      <c r="D218" s="271">
        <f>1449/1.269</f>
        <v>1141.8439716312057</v>
      </c>
      <c r="E218" s="271" t="s">
        <v>376</v>
      </c>
      <c r="F218" s="271"/>
      <c r="G218" s="271"/>
      <c r="H218" s="271"/>
    </row>
    <row r="219" spans="1:10" ht="14.1" customHeight="1">
      <c r="B219" s="270" t="s">
        <v>420</v>
      </c>
      <c r="C219" s="271" t="s">
        <v>332</v>
      </c>
      <c r="D219" s="271">
        <f>+D193</f>
        <v>496.7</v>
      </c>
      <c r="E219" s="271" t="s">
        <v>339</v>
      </c>
      <c r="F219" s="271" t="s">
        <v>421</v>
      </c>
      <c r="G219" s="271">
        <f>+G193</f>
        <v>18</v>
      </c>
      <c r="H219" s="272" t="s">
        <v>133</v>
      </c>
    </row>
    <row r="220" spans="1:10" ht="14.1" customHeight="1">
      <c r="B220" s="270" t="s">
        <v>437</v>
      </c>
      <c r="C220" s="271" t="s">
        <v>332</v>
      </c>
      <c r="D220" s="271">
        <f>+E33</f>
        <v>9.1470000000000002</v>
      </c>
      <c r="E220" s="271" t="s">
        <v>339</v>
      </c>
      <c r="F220" s="271" t="s">
        <v>421</v>
      </c>
      <c r="G220" s="271">
        <f>+G219</f>
        <v>18</v>
      </c>
      <c r="H220" s="272" t="s">
        <v>133</v>
      </c>
    </row>
    <row r="221" spans="1:10" ht="14.1" customHeight="1">
      <c r="B221" s="270" t="s">
        <v>401</v>
      </c>
      <c r="C221" s="271" t="s">
        <v>332</v>
      </c>
      <c r="D221" s="271">
        <f>+input!D67*input!D63</f>
        <v>16500</v>
      </c>
      <c r="E221" s="271"/>
      <c r="F221" s="271" t="s">
        <v>421</v>
      </c>
      <c r="G221" s="271">
        <f>+G195</f>
        <v>20</v>
      </c>
      <c r="H221" s="272" t="s">
        <v>133</v>
      </c>
    </row>
    <row r="222" spans="1:10" ht="14.1" customHeight="1">
      <c r="B222" s="270" t="s">
        <v>392</v>
      </c>
      <c r="C222" s="271" t="s">
        <v>332</v>
      </c>
      <c r="D222" s="271">
        <f>+input!B67*input!B63</f>
        <v>36</v>
      </c>
      <c r="E222" s="271" t="s">
        <v>376</v>
      </c>
      <c r="F222" s="271"/>
      <c r="G222" s="271"/>
      <c r="H222" s="271"/>
    </row>
    <row r="223" spans="1:10" ht="14.1" customHeight="1">
      <c r="B223" s="270" t="s">
        <v>396</v>
      </c>
      <c r="C223" s="271" t="s">
        <v>332</v>
      </c>
      <c r="D223" s="271">
        <f>+input!C67*input!C63</f>
        <v>9000</v>
      </c>
      <c r="E223" s="271" t="s">
        <v>423</v>
      </c>
      <c r="F223" s="271"/>
      <c r="G223" s="271"/>
      <c r="H223" s="271"/>
    </row>
    <row r="224" spans="1:10" ht="14.1" customHeight="1">
      <c r="B224" s="270" t="s">
        <v>394</v>
      </c>
      <c r="C224" s="271" t="s">
        <v>332</v>
      </c>
      <c r="D224" s="271">
        <v>25000</v>
      </c>
      <c r="E224" s="271" t="s">
        <v>423</v>
      </c>
      <c r="F224" s="271"/>
      <c r="G224" s="271"/>
      <c r="H224" s="271"/>
    </row>
    <row r="225" spans="2:10" ht="14.1" customHeight="1">
      <c r="B225" s="270"/>
      <c r="C225" s="271"/>
      <c r="D225" s="271"/>
      <c r="E225" s="271"/>
      <c r="F225" s="271"/>
      <c r="G225" s="271"/>
      <c r="H225" s="271"/>
    </row>
    <row r="226" spans="2:10" ht="14.1" customHeight="1">
      <c r="B226" s="270" t="s">
        <v>424</v>
      </c>
      <c r="C226" s="271" t="s">
        <v>332</v>
      </c>
      <c r="D226" s="260" t="str">
        <f>+CONCATENATE("(",D217,"/",D222,")^2 x ", D221)</f>
        <v>(57.96/36)^2 x 16500</v>
      </c>
      <c r="F226" s="271" t="s">
        <v>332</v>
      </c>
      <c r="G226" s="281">
        <f>+D217*D217*D221/D222/D222</f>
        <v>42769.65</v>
      </c>
      <c r="H226" s="260" t="s">
        <v>384</v>
      </c>
    </row>
    <row r="227" spans="2:10" ht="14.1" customHeight="1">
      <c r="B227" s="270" t="s">
        <v>425</v>
      </c>
      <c r="C227" s="271" t="s">
        <v>332</v>
      </c>
      <c r="D227" s="260" t="str">
        <f>+CONCATENATE(D217,"x",D217,"x",D219,"x(235+",G221,")/(235+",G219,")/1000")</f>
        <v>57.96x57.96x496.7x(235+20)/(235+18)/1000</v>
      </c>
    </row>
    <row r="228" spans="2:10" ht="14.1" customHeight="1">
      <c r="B228" s="270"/>
      <c r="C228" s="271" t="s">
        <v>332</v>
      </c>
      <c r="D228" s="281">
        <f>+D217*D217*D219*(235+G221)/(235+G219)/1000</f>
        <v>1681.7853802909092</v>
      </c>
      <c r="E228" s="260" t="s">
        <v>384</v>
      </c>
    </row>
    <row r="229" spans="2:10" ht="14.1" customHeight="1">
      <c r="B229" s="270" t="s">
        <v>426</v>
      </c>
      <c r="C229" s="271" t="s">
        <v>332</v>
      </c>
      <c r="D229" s="260" t="str">
        <f>+CONCATENATE(ROUND(D218,1),"x",ROUND(D218,1),"x",D220,"x(235+",G221,")/(235+",G220,")/1000")</f>
        <v>1141.8x1141.8x9.147x(235+20)/(235+18)/1000</v>
      </c>
    </row>
    <row r="230" spans="2:10" ht="14.1" customHeight="1">
      <c r="B230" s="270"/>
      <c r="C230" s="271" t="s">
        <v>332</v>
      </c>
      <c r="D230" s="281">
        <f>+D218*D218*D220*(235+G221)/(235+G220)/1000</f>
        <v>12020.204740935844</v>
      </c>
      <c r="E230" s="260" t="s">
        <v>384</v>
      </c>
    </row>
    <row r="231" spans="2:10" ht="14.1" customHeight="1">
      <c r="B231" s="270" t="s">
        <v>427</v>
      </c>
      <c r="C231" s="271" t="s">
        <v>332</v>
      </c>
      <c r="D231" s="260" t="str">
        <f>+CONCATENATE(ROUND(D228,1),"+",ROUND(D230,1))</f>
        <v>1681.8+12020.2</v>
      </c>
      <c r="F231" s="271" t="s">
        <v>332</v>
      </c>
      <c r="G231" s="281">
        <f>+D228+D230</f>
        <v>13701.990121226752</v>
      </c>
      <c r="H231" s="260" t="s">
        <v>384</v>
      </c>
    </row>
    <row r="232" spans="2:10" ht="14.1" customHeight="1">
      <c r="B232" s="270" t="s">
        <v>428</v>
      </c>
      <c r="C232" s="271" t="s">
        <v>332</v>
      </c>
      <c r="D232" s="260" t="str">
        <f>+CONCATENATE(ROUND(G226,1),"-",ROUND(G231,1))</f>
        <v>42769.7-13702</v>
      </c>
      <c r="F232" s="271" t="s">
        <v>332</v>
      </c>
      <c r="G232" s="281">
        <f>+G226-G231</f>
        <v>29067.659878773251</v>
      </c>
      <c r="H232" s="271" t="s">
        <v>421</v>
      </c>
      <c r="I232" s="271">
        <f>+G221</f>
        <v>20</v>
      </c>
      <c r="J232" s="260" t="s">
        <v>133</v>
      </c>
    </row>
    <row r="233" spans="2:10" ht="14.1" customHeight="1">
      <c r="B233" s="270" t="s">
        <v>428</v>
      </c>
      <c r="C233" s="271" t="s">
        <v>332</v>
      </c>
      <c r="D233" s="260" t="str">
        <f>+CONCATENATE(ROUND(G232,1),"x(235+",I232,")/(235+75)")</f>
        <v>29067.7x(235+20)/(235+75)</v>
      </c>
      <c r="H233" s="271"/>
      <c r="I233" s="271"/>
    </row>
    <row r="234" spans="2:10" ht="14.1" customHeight="1">
      <c r="B234" s="270"/>
      <c r="C234" s="271" t="s">
        <v>332</v>
      </c>
      <c r="D234" s="260">
        <f>+G232*(235+I232)/310</f>
        <v>23910.494416410253</v>
      </c>
      <c r="E234" s="260" t="s">
        <v>384</v>
      </c>
      <c r="H234" s="271" t="s">
        <v>421</v>
      </c>
      <c r="I234" s="271">
        <v>75</v>
      </c>
      <c r="J234" s="260" t="s">
        <v>133</v>
      </c>
    </row>
    <row r="235" spans="2:10" ht="14.1" customHeight="1">
      <c r="B235" s="270" t="s">
        <v>427</v>
      </c>
      <c r="C235" s="271" t="s">
        <v>332</v>
      </c>
      <c r="D235" s="260" t="str">
        <f>+CONCATENATE(ROUND(G231,1),"x(235+75)/(235+",I232,")")</f>
        <v>13702x(235+75)/(235+20)</v>
      </c>
      <c r="H235" s="271"/>
      <c r="I235" s="271"/>
    </row>
    <row r="236" spans="2:10" ht="14.1" customHeight="1">
      <c r="B236" s="270"/>
      <c r="C236" s="271" t="s">
        <v>332</v>
      </c>
      <c r="D236" s="260">
        <f>+G231*310/(235+I232)</f>
        <v>16657.321323844288</v>
      </c>
      <c r="E236" s="260" t="s">
        <v>384</v>
      </c>
      <c r="H236" s="271" t="s">
        <v>421</v>
      </c>
      <c r="I236" s="271">
        <v>75</v>
      </c>
      <c r="J236" s="260" t="s">
        <v>133</v>
      </c>
    </row>
    <row r="237" spans="2:10" ht="14.1" customHeight="1">
      <c r="B237" s="270"/>
      <c r="C237" s="271"/>
    </row>
    <row r="238" spans="2:10" ht="14.1" customHeight="1">
      <c r="B238" s="270" t="s">
        <v>429</v>
      </c>
      <c r="C238" s="271" t="s">
        <v>332</v>
      </c>
      <c r="D238" s="260" t="str">
        <f>+CONCATENATE(ROUND(D236,1),"+",ROUND(D234,1))</f>
        <v>16657.3+23910.5</v>
      </c>
      <c r="F238" s="271" t="s">
        <v>332</v>
      </c>
      <c r="G238" s="281">
        <f>+D236+D234</f>
        <v>40567.81574025454</v>
      </c>
      <c r="H238" s="260" t="s">
        <v>384</v>
      </c>
      <c r="I238" s="260" t="s">
        <v>430</v>
      </c>
    </row>
    <row r="239" spans="2:10" ht="14.1" customHeight="1">
      <c r="F239" s="271"/>
    </row>
    <row r="240" spans="2:10" ht="14.1" customHeight="1">
      <c r="B240" s="270" t="s">
        <v>431</v>
      </c>
      <c r="C240" s="271" t="s">
        <v>332</v>
      </c>
      <c r="D240" s="272" t="str">
        <f>+CONCATENATE(D223,"X",D217,"/(",D224,"x",D222,")")</f>
        <v>9000X57.96/(25000x36)</v>
      </c>
      <c r="F240" s="271" t="s">
        <v>332</v>
      </c>
      <c r="G240" s="288">
        <f>D223*D217/D224/D222</f>
        <v>0.5796</v>
      </c>
    </row>
    <row r="242" spans="1:10" ht="14.1" customHeight="1">
      <c r="A242" s="274" t="s">
        <v>344</v>
      </c>
      <c r="B242" s="275" t="s">
        <v>438</v>
      </c>
      <c r="D242" s="275"/>
    </row>
    <row r="243" spans="1:10" ht="14.1" customHeight="1">
      <c r="B243" s="270" t="s">
        <v>418</v>
      </c>
      <c r="C243" s="271" t="s">
        <v>332</v>
      </c>
      <c r="D243" s="271">
        <f>4*1449/25</f>
        <v>231.84</v>
      </c>
      <c r="E243" s="271" t="s">
        <v>376</v>
      </c>
      <c r="F243" s="271"/>
      <c r="G243" s="271"/>
      <c r="H243" s="271"/>
    </row>
    <row r="244" spans="1:10" ht="14.1" customHeight="1">
      <c r="B244" s="270" t="s">
        <v>419</v>
      </c>
      <c r="C244" s="271" t="s">
        <v>332</v>
      </c>
      <c r="D244" s="271">
        <f>1449/1.269</f>
        <v>1141.8439716312057</v>
      </c>
      <c r="E244" s="271" t="s">
        <v>376</v>
      </c>
      <c r="F244" s="271"/>
      <c r="G244" s="271"/>
      <c r="H244" s="271"/>
    </row>
    <row r="245" spans="1:10" ht="14.1" customHeight="1">
      <c r="B245" s="270" t="s">
        <v>420</v>
      </c>
      <c r="C245" s="271" t="s">
        <v>332</v>
      </c>
      <c r="D245" s="271">
        <f>+D219</f>
        <v>496.7</v>
      </c>
      <c r="E245" s="271" t="s">
        <v>339</v>
      </c>
      <c r="F245" s="271" t="s">
        <v>421</v>
      </c>
      <c r="G245" s="271">
        <f>+G220</f>
        <v>18</v>
      </c>
      <c r="H245" s="272" t="s">
        <v>133</v>
      </c>
    </row>
    <row r="246" spans="1:10" ht="14.1" customHeight="1">
      <c r="B246" s="270" t="s">
        <v>439</v>
      </c>
      <c r="C246" s="271" t="s">
        <v>332</v>
      </c>
      <c r="D246" s="271">
        <f>+E21+E25+E29+E33</f>
        <v>37.823</v>
      </c>
      <c r="E246" s="271" t="s">
        <v>339</v>
      </c>
      <c r="F246" s="271" t="s">
        <v>421</v>
      </c>
      <c r="G246" s="271">
        <f>+G245</f>
        <v>18</v>
      </c>
      <c r="H246" s="272" t="s">
        <v>133</v>
      </c>
    </row>
    <row r="247" spans="1:10" ht="14.1" customHeight="1">
      <c r="B247" s="270" t="s">
        <v>401</v>
      </c>
      <c r="C247" s="271" t="s">
        <v>332</v>
      </c>
      <c r="D247" s="271">
        <f>+input!D68*input!D63</f>
        <v>79500</v>
      </c>
      <c r="E247" s="271"/>
      <c r="F247" s="271" t="s">
        <v>421</v>
      </c>
      <c r="G247" s="271">
        <f>+G221</f>
        <v>20</v>
      </c>
      <c r="H247" s="272" t="s">
        <v>133</v>
      </c>
    </row>
    <row r="248" spans="1:10" ht="14.1" customHeight="1">
      <c r="B248" s="270" t="s">
        <v>392</v>
      </c>
      <c r="C248" s="271" t="s">
        <v>332</v>
      </c>
      <c r="D248" s="271">
        <f>+input!B68*input!B63</f>
        <v>150</v>
      </c>
      <c r="E248" s="271" t="s">
        <v>376</v>
      </c>
      <c r="F248" s="271"/>
      <c r="G248" s="271"/>
      <c r="H248" s="271"/>
    </row>
    <row r="249" spans="1:10" ht="14.1" customHeight="1">
      <c r="B249" s="270" t="s">
        <v>396</v>
      </c>
      <c r="C249" s="271" t="s">
        <v>332</v>
      </c>
      <c r="D249" s="271">
        <f>+input!C68*input!C63</f>
        <v>10870</v>
      </c>
      <c r="E249" s="271" t="s">
        <v>423</v>
      </c>
      <c r="F249" s="271"/>
      <c r="G249" s="271"/>
      <c r="H249" s="271"/>
    </row>
    <row r="250" spans="1:10" ht="14.1" customHeight="1">
      <c r="B250" s="270" t="s">
        <v>394</v>
      </c>
      <c r="C250" s="271" t="s">
        <v>332</v>
      </c>
      <c r="D250" s="271">
        <v>25000</v>
      </c>
      <c r="E250" s="271" t="s">
        <v>423</v>
      </c>
      <c r="F250" s="271"/>
      <c r="G250" s="271"/>
      <c r="H250" s="271"/>
    </row>
    <row r="251" spans="1:10" ht="14.1" customHeight="1">
      <c r="B251" s="270"/>
      <c r="C251" s="271"/>
      <c r="D251" s="271"/>
      <c r="E251" s="271"/>
      <c r="F251" s="271"/>
      <c r="G251" s="271"/>
      <c r="H251" s="271"/>
    </row>
    <row r="252" spans="1:10" ht="14.1" customHeight="1">
      <c r="B252" s="270" t="s">
        <v>424</v>
      </c>
      <c r="C252" s="271" t="s">
        <v>332</v>
      </c>
      <c r="D252" s="260" t="str">
        <f>+CONCATENATE("(",D243,"/",D248,")^2 x ", D247)</f>
        <v>(231.84/150)^2 x 79500</v>
      </c>
      <c r="H252" s="271" t="s">
        <v>332</v>
      </c>
      <c r="I252" s="281">
        <f>+D243*D243*D247/D248/D248</f>
        <v>189915.90912</v>
      </c>
      <c r="J252" s="260" t="s">
        <v>384</v>
      </c>
    </row>
    <row r="253" spans="1:10" ht="14.1" customHeight="1">
      <c r="B253" s="270" t="s">
        <v>425</v>
      </c>
      <c r="C253" s="271" t="s">
        <v>332</v>
      </c>
      <c r="D253" s="260" t="str">
        <f>+CONCATENATE(D243,"x",D243,"x",D245,"x(235+",G247,")/(235+",G245,")/1000")</f>
        <v>231.84x231.84x496.7x(235+20)/(235+18)/1000</v>
      </c>
    </row>
    <row r="254" spans="1:10" ht="14.1" customHeight="1">
      <c r="B254" s="270"/>
      <c r="C254" s="271" t="s">
        <v>332</v>
      </c>
      <c r="D254" s="281">
        <f>+D243*D243*D245*(235+G247)/(235+G245)/1000</f>
        <v>26908.566084654547</v>
      </c>
      <c r="E254" s="260" t="s">
        <v>384</v>
      </c>
    </row>
    <row r="255" spans="1:10" ht="14.1" customHeight="1">
      <c r="B255" s="270" t="s">
        <v>426</v>
      </c>
      <c r="C255" s="271" t="s">
        <v>332</v>
      </c>
      <c r="D255" s="260" t="str">
        <f>+CONCATENATE(ROUND(D244,1),"x",ROUND(D244,1),"x",D246,"x(235+",G247,")/(235+",G246,")/1000")</f>
        <v>1141.8x1141.8x37.823x(235+20)/(235+18)/1000</v>
      </c>
    </row>
    <row r="256" spans="1:10" ht="14.1" customHeight="1">
      <c r="B256" s="270"/>
      <c r="C256" s="271" t="s">
        <v>332</v>
      </c>
      <c r="D256" s="281">
        <f>+D244*D244*D246*(235+G247)/(235+G246)/1000</f>
        <v>49703.750291507196</v>
      </c>
      <c r="E256" s="260" t="s">
        <v>384</v>
      </c>
    </row>
    <row r="257" spans="1:10" ht="14.1" customHeight="1">
      <c r="B257" s="270" t="s">
        <v>427</v>
      </c>
      <c r="C257" s="271" t="s">
        <v>332</v>
      </c>
      <c r="D257" s="260" t="str">
        <f>+CONCATENATE(ROUND(D254,1),"+",ROUND(D256,1))</f>
        <v>26908.6+49703.8</v>
      </c>
      <c r="F257" s="271" t="s">
        <v>332</v>
      </c>
      <c r="G257" s="281">
        <f>+D254+D256</f>
        <v>76612.316376161747</v>
      </c>
      <c r="H257" s="260" t="s">
        <v>384</v>
      </c>
    </row>
    <row r="258" spans="1:10" ht="14.1" customHeight="1">
      <c r="B258" s="270" t="s">
        <v>428</v>
      </c>
      <c r="C258" s="271" t="s">
        <v>332</v>
      </c>
      <c r="D258" s="260" t="str">
        <f>+CONCATENATE(ROUND(I252,1),"-",ROUND(G257,1))</f>
        <v>189915.9-76612.3</v>
      </c>
      <c r="F258" s="271" t="s">
        <v>332</v>
      </c>
      <c r="G258" s="281">
        <f>+I252-G257</f>
        <v>113303.59274383825</v>
      </c>
      <c r="H258" s="271" t="s">
        <v>421</v>
      </c>
      <c r="I258" s="271">
        <f>+G247</f>
        <v>20</v>
      </c>
      <c r="J258" s="260" t="s">
        <v>133</v>
      </c>
    </row>
    <row r="259" spans="1:10" ht="14.1" customHeight="1">
      <c r="B259" s="270" t="s">
        <v>428</v>
      </c>
      <c r="C259" s="271" t="s">
        <v>332</v>
      </c>
      <c r="D259" s="260" t="str">
        <f>+CONCATENATE(ROUND(G258,1),"x(235+",I258,")/(235+75)")</f>
        <v>113303.6x(235+20)/(235+75)</v>
      </c>
      <c r="H259" s="271"/>
      <c r="I259" s="271"/>
    </row>
    <row r="260" spans="1:10" ht="14.1" customHeight="1">
      <c r="B260" s="270"/>
      <c r="C260" s="271" t="s">
        <v>332</v>
      </c>
      <c r="D260" s="260">
        <f>+G258*(235+I258)/310</f>
        <v>93201.342418318556</v>
      </c>
      <c r="E260" s="260" t="s">
        <v>384</v>
      </c>
      <c r="H260" s="271" t="s">
        <v>421</v>
      </c>
      <c r="I260" s="271">
        <v>75</v>
      </c>
      <c r="J260" s="260" t="s">
        <v>133</v>
      </c>
    </row>
    <row r="261" spans="1:10" ht="14.1" customHeight="1">
      <c r="B261" s="270" t="s">
        <v>427</v>
      </c>
      <c r="C261" s="271" t="s">
        <v>332</v>
      </c>
      <c r="D261" s="260" t="str">
        <f>+CONCATENATE(ROUND(G257,1),"x(235+75)/(235+",I258,")")</f>
        <v>76612.3x(235+75)/(235+20)</v>
      </c>
      <c r="H261" s="271"/>
      <c r="I261" s="271"/>
    </row>
    <row r="262" spans="1:10" ht="14.1" customHeight="1">
      <c r="B262" s="270"/>
      <c r="C262" s="271" t="s">
        <v>332</v>
      </c>
      <c r="D262" s="260">
        <f>+G257*310/(235+I258)</f>
        <v>93136.541476902508</v>
      </c>
      <c r="E262" s="260" t="s">
        <v>384</v>
      </c>
      <c r="H262" s="271" t="s">
        <v>421</v>
      </c>
      <c r="I262" s="271">
        <v>75</v>
      </c>
      <c r="J262" s="260" t="s">
        <v>133</v>
      </c>
    </row>
    <row r="263" spans="1:10" ht="14.1" customHeight="1">
      <c r="B263" s="270"/>
      <c r="C263" s="271"/>
    </row>
    <row r="264" spans="1:10" ht="14.1" customHeight="1">
      <c r="B264" s="270" t="s">
        <v>429</v>
      </c>
      <c r="C264" s="271" t="s">
        <v>332</v>
      </c>
      <c r="D264" s="260" t="str">
        <f>+CONCATENATE(ROUND(D262,1),"+",ROUND(D260,1))</f>
        <v>93136.5+93201.3</v>
      </c>
      <c r="F264" s="271" t="s">
        <v>332</v>
      </c>
      <c r="G264" s="281">
        <f>+D262+D260</f>
        <v>186337.88389522105</v>
      </c>
      <c r="H264" s="260" t="s">
        <v>384</v>
      </c>
      <c r="I264" s="260" t="s">
        <v>430</v>
      </c>
    </row>
    <row r="265" spans="1:10" ht="14.1" customHeight="1">
      <c r="F265" s="271"/>
    </row>
    <row r="266" spans="1:10" ht="14.1" customHeight="1">
      <c r="B266" s="270" t="s">
        <v>431</v>
      </c>
      <c r="C266" s="271" t="s">
        <v>332</v>
      </c>
      <c r="D266" s="272" t="str">
        <f>+CONCATENATE(D249,"X",D243,"/(",D250,"x",D248,")")</f>
        <v>10870X231.84/(25000x150)</v>
      </c>
      <c r="F266" s="271" t="s">
        <v>332</v>
      </c>
      <c r="G266" s="288">
        <f>D249*D243/D250/D248</f>
        <v>0.67202687999999999</v>
      </c>
    </row>
    <row r="268" spans="1:10" ht="14.1" customHeight="1">
      <c r="A268" s="274" t="s">
        <v>345</v>
      </c>
      <c r="B268" s="275" t="s">
        <v>440</v>
      </c>
      <c r="D268" s="275"/>
    </row>
    <row r="269" spans="1:10" ht="14.1" customHeight="1">
      <c r="B269" s="270" t="s">
        <v>418</v>
      </c>
      <c r="C269" s="271" t="s">
        <v>332</v>
      </c>
      <c r="D269" s="271">
        <f>400/25</f>
        <v>16</v>
      </c>
      <c r="E269" s="271" t="s">
        <v>376</v>
      </c>
      <c r="F269" s="271"/>
      <c r="G269" s="271"/>
      <c r="H269" s="271"/>
    </row>
    <row r="270" spans="1:10" ht="14.1" customHeight="1">
      <c r="B270" s="270" t="s">
        <v>441</v>
      </c>
      <c r="C270" s="271" t="s">
        <v>332</v>
      </c>
      <c r="D270" s="271">
        <f>400/1.154</f>
        <v>346.62045060658579</v>
      </c>
      <c r="E270" s="271" t="s">
        <v>376</v>
      </c>
      <c r="F270" s="271"/>
      <c r="G270" s="271"/>
      <c r="H270" s="271"/>
    </row>
    <row r="271" spans="1:10" ht="14.1" customHeight="1">
      <c r="B271" s="270" t="s">
        <v>420</v>
      </c>
      <c r="C271" s="271" t="s">
        <v>332</v>
      </c>
      <c r="D271" s="271">
        <f>+D245</f>
        <v>496.7</v>
      </c>
      <c r="E271" s="271" t="s">
        <v>339</v>
      </c>
      <c r="F271" s="271" t="s">
        <v>421</v>
      </c>
      <c r="G271" s="271">
        <f>+G246</f>
        <v>18</v>
      </c>
      <c r="H271" s="272" t="s">
        <v>133</v>
      </c>
    </row>
    <row r="272" spans="1:10" ht="14.1" customHeight="1">
      <c r="B272" s="270" t="s">
        <v>442</v>
      </c>
      <c r="C272" s="271" t="s">
        <v>332</v>
      </c>
      <c r="D272" s="271">
        <f>+E37</f>
        <v>13.927</v>
      </c>
      <c r="E272" s="271" t="s">
        <v>339</v>
      </c>
      <c r="F272" s="271" t="s">
        <v>421</v>
      </c>
      <c r="G272" s="271">
        <f>+G271</f>
        <v>18</v>
      </c>
      <c r="H272" s="272" t="s">
        <v>133</v>
      </c>
    </row>
    <row r="273" spans="2:10" ht="14.1" customHeight="1">
      <c r="B273" s="270" t="s">
        <v>401</v>
      </c>
      <c r="C273" s="271" t="s">
        <v>332</v>
      </c>
      <c r="D273" s="271">
        <f>+input!D74*input!D72</f>
        <v>2437.5</v>
      </c>
      <c r="E273" s="271"/>
      <c r="F273" s="271" t="s">
        <v>421</v>
      </c>
      <c r="G273" s="271">
        <f>+G247</f>
        <v>20</v>
      </c>
      <c r="H273" s="272" t="s">
        <v>133</v>
      </c>
    </row>
    <row r="274" spans="2:10" ht="14.1" customHeight="1">
      <c r="B274" s="270" t="s">
        <v>392</v>
      </c>
      <c r="C274" s="271" t="s">
        <v>332</v>
      </c>
      <c r="D274" s="271">
        <f>+input!B74*input!B72</f>
        <v>16.5</v>
      </c>
      <c r="E274" s="271" t="s">
        <v>376</v>
      </c>
      <c r="F274" s="271"/>
      <c r="G274" s="271"/>
      <c r="H274" s="271"/>
    </row>
    <row r="275" spans="2:10" ht="14.1" customHeight="1">
      <c r="B275" s="270" t="s">
        <v>396</v>
      </c>
      <c r="C275" s="271" t="s">
        <v>332</v>
      </c>
      <c r="D275" s="271">
        <f>+input!C74*input!C72</f>
        <v>1085</v>
      </c>
      <c r="E275" s="271" t="s">
        <v>423</v>
      </c>
      <c r="F275" s="271"/>
      <c r="G275" s="271"/>
      <c r="H275" s="271"/>
    </row>
    <row r="276" spans="2:10" ht="14.1" customHeight="1">
      <c r="B276" s="270" t="s">
        <v>394</v>
      </c>
      <c r="C276" s="271" t="s">
        <v>332</v>
      </c>
      <c r="D276" s="271">
        <v>25000</v>
      </c>
      <c r="E276" s="271" t="s">
        <v>423</v>
      </c>
      <c r="F276" s="271"/>
      <c r="G276" s="271"/>
      <c r="H276" s="271"/>
    </row>
    <row r="277" spans="2:10" ht="14.1" customHeight="1">
      <c r="B277" s="270"/>
      <c r="C277" s="271"/>
      <c r="D277" s="271"/>
      <c r="E277" s="271"/>
      <c r="F277" s="271"/>
      <c r="G277" s="271"/>
      <c r="H277" s="271"/>
    </row>
    <row r="278" spans="2:10" ht="14.1" customHeight="1">
      <c r="B278" s="270" t="s">
        <v>424</v>
      </c>
      <c r="C278" s="271" t="s">
        <v>332</v>
      </c>
      <c r="D278" s="260" t="str">
        <f>+CONCATENATE("(",D269,"/",D274,")^2 x ", D273)</f>
        <v>(16/16.5)^2 x 2437.5</v>
      </c>
      <c r="H278" s="271" t="s">
        <v>332</v>
      </c>
      <c r="I278" s="281">
        <f>+D269*D269*D273/D274/D274</f>
        <v>2292.0110192837465</v>
      </c>
      <c r="J278" s="260" t="s">
        <v>384</v>
      </c>
    </row>
    <row r="279" spans="2:10" ht="14.1" customHeight="1">
      <c r="B279" s="270" t="s">
        <v>425</v>
      </c>
      <c r="C279" s="271" t="s">
        <v>332</v>
      </c>
      <c r="D279" s="260" t="str">
        <f>+CONCATENATE(D269,"x",D269,"x",D271,"x(235+",G273,")/(235+",G271,")/1000")</f>
        <v>16x16x496.7x(235+20)/(235+18)/1000</v>
      </c>
    </row>
    <row r="280" spans="2:10" ht="14.1" customHeight="1">
      <c r="B280" s="270"/>
      <c r="C280" s="271" t="s">
        <v>332</v>
      </c>
      <c r="D280" s="281">
        <f>+D269*D269*D271*(235+G273)/(235+G271)/1000</f>
        <v>128.16037944664032</v>
      </c>
      <c r="E280" s="260" t="s">
        <v>384</v>
      </c>
    </row>
    <row r="281" spans="2:10" ht="14.1" customHeight="1">
      <c r="B281" s="270" t="s">
        <v>426</v>
      </c>
      <c r="C281" s="271" t="s">
        <v>332</v>
      </c>
      <c r="D281" s="260" t="str">
        <f>+CONCATENATE(ROUND(D270,1),"x",ROUND(D270,1),"x",D272,"x(235+",G273,")/(235+",G272,")/1000")</f>
        <v>346.6x346.6x13.927x(235+20)/(235+18)/1000</v>
      </c>
    </row>
    <row r="282" spans="2:10" ht="14.1" customHeight="1">
      <c r="B282" s="270"/>
      <c r="C282" s="271" t="s">
        <v>332</v>
      </c>
      <c r="D282" s="281">
        <f>+D270*D270*D272*(235+G273)/(235+G272)/1000</f>
        <v>1686.4971043868306</v>
      </c>
      <c r="E282" s="260" t="s">
        <v>384</v>
      </c>
    </row>
    <row r="283" spans="2:10" ht="14.1" customHeight="1">
      <c r="B283" s="270" t="s">
        <v>427</v>
      </c>
      <c r="C283" s="271" t="s">
        <v>332</v>
      </c>
      <c r="D283" s="260" t="str">
        <f>+CONCATENATE(ROUND(D280,1),"+",ROUND(D282,1))</f>
        <v>128.2+1686.5</v>
      </c>
      <c r="F283" s="271" t="s">
        <v>332</v>
      </c>
      <c r="G283" s="281">
        <f>+D280+D282</f>
        <v>1814.6574838334709</v>
      </c>
      <c r="H283" s="260" t="s">
        <v>384</v>
      </c>
    </row>
    <row r="284" spans="2:10" ht="14.1" customHeight="1">
      <c r="B284" s="270" t="s">
        <v>428</v>
      </c>
      <c r="C284" s="271" t="s">
        <v>332</v>
      </c>
      <c r="D284" s="260" t="str">
        <f>+CONCATENATE(ROUND(I278,1),"-",ROUND(G283,1))</f>
        <v>2292-1814.7</v>
      </c>
      <c r="F284" s="271" t="s">
        <v>332</v>
      </c>
      <c r="G284" s="281">
        <f>+I278-G283</f>
        <v>477.35353545027556</v>
      </c>
      <c r="H284" s="271" t="s">
        <v>421</v>
      </c>
      <c r="I284" s="271">
        <f>+G273</f>
        <v>20</v>
      </c>
      <c r="J284" s="260" t="s">
        <v>133</v>
      </c>
    </row>
    <row r="285" spans="2:10" ht="14.1" customHeight="1">
      <c r="B285" s="270" t="s">
        <v>428</v>
      </c>
      <c r="C285" s="271" t="s">
        <v>332</v>
      </c>
      <c r="D285" s="260" t="str">
        <f>+CONCATENATE(ROUND(G284,1),"x(235+",I284,")/(235+75)")</f>
        <v>477.4x(235+20)/(235+75)</v>
      </c>
      <c r="H285" s="271"/>
      <c r="I285" s="271"/>
    </row>
    <row r="286" spans="2:10" ht="14.1" customHeight="1">
      <c r="B286" s="270"/>
      <c r="C286" s="271" t="s">
        <v>332</v>
      </c>
      <c r="D286" s="260">
        <f>+G284*(235+I284)/310</f>
        <v>392.66177916071052</v>
      </c>
      <c r="E286" s="260" t="s">
        <v>384</v>
      </c>
      <c r="H286" s="271" t="s">
        <v>421</v>
      </c>
      <c r="I286" s="271">
        <v>75</v>
      </c>
      <c r="J286" s="260" t="s">
        <v>133</v>
      </c>
    </row>
    <row r="287" spans="2:10" ht="14.1" customHeight="1">
      <c r="B287" s="270" t="s">
        <v>427</v>
      </c>
      <c r="C287" s="271" t="s">
        <v>332</v>
      </c>
      <c r="D287" s="260" t="str">
        <f>+CONCATENATE(ROUND(G283,1),"x(235+75)/(235+",I284,")")</f>
        <v>1814.7x(235+75)/(235+20)</v>
      </c>
      <c r="H287" s="271"/>
      <c r="I287" s="271"/>
    </row>
    <row r="288" spans="2:10" ht="14.1" customHeight="1">
      <c r="B288" s="270"/>
      <c r="C288" s="271" t="s">
        <v>332</v>
      </c>
      <c r="D288" s="260">
        <f>+G283*310/(235+I284)</f>
        <v>2206.0541960328469</v>
      </c>
      <c r="E288" s="260" t="s">
        <v>384</v>
      </c>
      <c r="H288" s="271" t="s">
        <v>421</v>
      </c>
      <c r="I288" s="271">
        <v>75</v>
      </c>
      <c r="J288" s="260" t="s">
        <v>133</v>
      </c>
    </row>
    <row r="289" spans="1:9" ht="14.1" customHeight="1">
      <c r="B289" s="270"/>
      <c r="C289" s="271"/>
    </row>
    <row r="290" spans="1:9" ht="14.1" customHeight="1">
      <c r="B290" s="270" t="s">
        <v>429</v>
      </c>
      <c r="C290" s="271" t="s">
        <v>332</v>
      </c>
      <c r="D290" s="260" t="str">
        <f>+CONCATENATE(ROUND(D288,1),"+",ROUND(D286,1))</f>
        <v>2206.1+392.7</v>
      </c>
      <c r="F290" s="271" t="s">
        <v>332</v>
      </c>
      <c r="G290" s="281">
        <f>+D288+D286</f>
        <v>2598.7159751935574</v>
      </c>
      <c r="H290" s="260" t="s">
        <v>384</v>
      </c>
      <c r="I290" s="260" t="s">
        <v>430</v>
      </c>
    </row>
    <row r="291" spans="1:9" ht="14.1" customHeight="1">
      <c r="F291" s="271"/>
    </row>
    <row r="292" spans="1:9" ht="14.1" customHeight="1">
      <c r="B292" s="270" t="s">
        <v>431</v>
      </c>
      <c r="C292" s="271" t="s">
        <v>332</v>
      </c>
      <c r="D292" s="272" t="str">
        <f>+CONCATENATE(D275,"X",D269,"/(",D276,"x",D274,")")</f>
        <v>1085X16/(25000x16.5)</v>
      </c>
      <c r="F292" s="271" t="s">
        <v>332</v>
      </c>
      <c r="G292" s="288">
        <f>D275*D269/D276/D274</f>
        <v>4.2084848484848489E-2</v>
      </c>
    </row>
    <row r="294" spans="1:9" ht="14.1" customHeight="1">
      <c r="A294" s="274" t="s">
        <v>347</v>
      </c>
      <c r="B294" s="275" t="s">
        <v>443</v>
      </c>
      <c r="D294" s="275"/>
    </row>
    <row r="296" spans="1:9" ht="14.1" customHeight="1">
      <c r="B296" s="270" t="s">
        <v>418</v>
      </c>
      <c r="C296" s="271" t="s">
        <v>332</v>
      </c>
      <c r="D296" s="271">
        <f>334/25</f>
        <v>13.36</v>
      </c>
      <c r="E296" s="271" t="s">
        <v>376</v>
      </c>
      <c r="F296" s="271"/>
      <c r="G296" s="271"/>
      <c r="H296" s="271"/>
    </row>
    <row r="297" spans="1:9" ht="14.1" customHeight="1">
      <c r="B297" s="270" t="s">
        <v>444</v>
      </c>
      <c r="C297" s="271" t="s">
        <v>332</v>
      </c>
      <c r="D297" s="289">
        <v>334</v>
      </c>
      <c r="E297" s="271" t="s">
        <v>376</v>
      </c>
      <c r="F297" s="271"/>
      <c r="G297" s="271"/>
      <c r="H297" s="271"/>
    </row>
    <row r="298" spans="1:9" ht="14.1" customHeight="1">
      <c r="B298" s="270" t="s">
        <v>420</v>
      </c>
      <c r="C298" s="271" t="s">
        <v>332</v>
      </c>
      <c r="D298" s="271">
        <f>+E17</f>
        <v>496.7</v>
      </c>
      <c r="E298" s="271" t="s">
        <v>339</v>
      </c>
      <c r="F298" s="271" t="s">
        <v>421</v>
      </c>
      <c r="G298" s="271">
        <f>+G271</f>
        <v>18</v>
      </c>
      <c r="H298" s="272" t="s">
        <v>133</v>
      </c>
    </row>
    <row r="299" spans="1:9" ht="14.1" customHeight="1">
      <c r="B299" s="270" t="s">
        <v>445</v>
      </c>
      <c r="C299" s="271" t="s">
        <v>332</v>
      </c>
      <c r="D299" s="271">
        <f>+E41</f>
        <v>18.196999999999999</v>
      </c>
      <c r="E299" s="271" t="s">
        <v>339</v>
      </c>
      <c r="F299" s="271" t="s">
        <v>421</v>
      </c>
      <c r="G299" s="271">
        <f>+G298</f>
        <v>18</v>
      </c>
      <c r="H299" s="272" t="s">
        <v>133</v>
      </c>
    </row>
    <row r="300" spans="1:9" ht="14.1" customHeight="1">
      <c r="B300" s="270" t="s">
        <v>401</v>
      </c>
      <c r="C300" s="271" t="s">
        <v>332</v>
      </c>
      <c r="D300" s="271">
        <f>+input!D73*input!D72</f>
        <v>2625</v>
      </c>
      <c r="E300" s="271"/>
      <c r="F300" s="271" t="s">
        <v>421</v>
      </c>
      <c r="G300" s="271">
        <f>+G273</f>
        <v>20</v>
      </c>
      <c r="H300" s="272" t="s">
        <v>133</v>
      </c>
    </row>
    <row r="301" spans="1:9" ht="14.1" customHeight="1">
      <c r="B301" s="270" t="s">
        <v>392</v>
      </c>
      <c r="C301" s="271" t="s">
        <v>332</v>
      </c>
      <c r="D301" s="271">
        <f>+input!B73*input!B72</f>
        <v>12.750000000000002</v>
      </c>
      <c r="E301" s="271" t="s">
        <v>376</v>
      </c>
      <c r="F301" s="271"/>
      <c r="G301" s="271"/>
      <c r="H301" s="271"/>
    </row>
    <row r="302" spans="1:9" ht="14.1" customHeight="1">
      <c r="B302" s="270" t="s">
        <v>396</v>
      </c>
      <c r="C302" s="271" t="s">
        <v>332</v>
      </c>
      <c r="D302" s="271">
        <f>+input!C73*input!C72</f>
        <v>2467.5</v>
      </c>
      <c r="E302" s="271" t="s">
        <v>423</v>
      </c>
      <c r="F302" s="271"/>
      <c r="G302" s="271"/>
      <c r="H302" s="271"/>
    </row>
    <row r="303" spans="1:9" ht="14.1" customHeight="1">
      <c r="B303" s="270" t="s">
        <v>394</v>
      </c>
      <c r="C303" s="271" t="s">
        <v>332</v>
      </c>
      <c r="D303" s="271">
        <v>25000</v>
      </c>
      <c r="E303" s="271" t="s">
        <v>423</v>
      </c>
      <c r="F303" s="271"/>
      <c r="G303" s="271"/>
      <c r="H303" s="271"/>
    </row>
    <row r="304" spans="1:9" ht="14.1" customHeight="1">
      <c r="B304" s="270"/>
      <c r="C304" s="271"/>
      <c r="D304" s="271"/>
      <c r="E304" s="271"/>
      <c r="F304" s="271"/>
      <c r="G304" s="271"/>
      <c r="H304" s="271"/>
    </row>
    <row r="305" spans="2:10" ht="14.1" customHeight="1">
      <c r="B305" s="270" t="s">
        <v>424</v>
      </c>
      <c r="C305" s="271" t="s">
        <v>332</v>
      </c>
      <c r="D305" s="260" t="str">
        <f>+CONCATENATE("(",D296,"/",D301,")^2 x ", D300)</f>
        <v>(13.36/12.75)^2 x 2625</v>
      </c>
      <c r="H305" s="271" t="s">
        <v>332</v>
      </c>
      <c r="I305" s="281">
        <f>+D296*D296*D300/D301/D301</f>
        <v>2882.1850057670122</v>
      </c>
      <c r="J305" s="260" t="s">
        <v>384</v>
      </c>
    </row>
    <row r="306" spans="2:10" ht="14.1" customHeight="1">
      <c r="B306" s="270" t="s">
        <v>425</v>
      </c>
      <c r="C306" s="271" t="s">
        <v>332</v>
      </c>
      <c r="D306" s="260" t="str">
        <f>+CONCATENATE(D296,"x",D296,"x",D298,"x(235+",G300,")/(235+",G298,")/1000")</f>
        <v>13.36x13.36x496.7x(235+20)/(235+18)/1000</v>
      </c>
    </row>
    <row r="307" spans="2:10" ht="14.1" customHeight="1">
      <c r="B307" s="270"/>
      <c r="C307" s="271" t="s">
        <v>332</v>
      </c>
      <c r="D307" s="281">
        <f>+D296*D296*D298*(235+G300)/(235+G298)/1000</f>
        <v>89.356620559683776</v>
      </c>
      <c r="E307" s="260" t="s">
        <v>384</v>
      </c>
    </row>
    <row r="308" spans="2:10" ht="14.1" customHeight="1">
      <c r="B308" s="270" t="s">
        <v>426</v>
      </c>
      <c r="C308" s="271" t="s">
        <v>332</v>
      </c>
      <c r="D308" s="260" t="str">
        <f>+CONCATENATE(ROUND(D297,1),"x",ROUND(D297,1),"x",D299,"x(235+",G300,")/(235+",G299,")/1000")</f>
        <v>334x334x18.197x(235+20)/(235+18)/1000</v>
      </c>
    </row>
    <row r="309" spans="2:10" ht="14.1" customHeight="1">
      <c r="B309" s="270"/>
      <c r="C309" s="271" t="s">
        <v>332</v>
      </c>
      <c r="D309" s="281">
        <f>+D297*D297*D299*(235+G300)/(235+G299)/1000</f>
        <v>2046.0318405533596</v>
      </c>
      <c r="E309" s="260" t="s">
        <v>384</v>
      </c>
    </row>
    <row r="310" spans="2:10" ht="14.1" customHeight="1">
      <c r="B310" s="270" t="s">
        <v>427</v>
      </c>
      <c r="C310" s="271" t="s">
        <v>332</v>
      </c>
      <c r="D310" s="260" t="str">
        <f>+CONCATENATE(ROUND(D307,1),"+",ROUND(D309,1))</f>
        <v>89.4+2046</v>
      </c>
      <c r="F310" s="271" t="s">
        <v>332</v>
      </c>
      <c r="G310" s="281">
        <f>+D307+D309</f>
        <v>2135.3884611130434</v>
      </c>
      <c r="H310" s="260" t="s">
        <v>384</v>
      </c>
    </row>
    <row r="311" spans="2:10" ht="14.1" customHeight="1">
      <c r="B311" s="270" t="s">
        <v>428</v>
      </c>
      <c r="C311" s="271" t="s">
        <v>332</v>
      </c>
      <c r="D311" s="260" t="str">
        <f>+CONCATENATE(ROUND(I305,1),"-",ROUND(G310,1))</f>
        <v>2882.2-2135.4</v>
      </c>
      <c r="F311" s="271" t="s">
        <v>332</v>
      </c>
      <c r="G311" s="281">
        <f>+I305-G310</f>
        <v>746.79654465396879</v>
      </c>
      <c r="H311" s="271" t="s">
        <v>421</v>
      </c>
      <c r="I311" s="271">
        <f>+G300</f>
        <v>20</v>
      </c>
      <c r="J311" s="260" t="s">
        <v>133</v>
      </c>
    </row>
    <row r="312" spans="2:10" ht="14.1" customHeight="1">
      <c r="B312" s="270" t="s">
        <v>428</v>
      </c>
      <c r="C312" s="271" t="s">
        <v>332</v>
      </c>
      <c r="D312" s="260" t="str">
        <f>+CONCATENATE(ROUND(G311,1),"x(235+",I311,")/(235+75)")</f>
        <v>746.8x(235+20)/(235+75)</v>
      </c>
      <c r="H312" s="271"/>
      <c r="I312" s="271"/>
    </row>
    <row r="313" spans="2:10" ht="14.1" customHeight="1">
      <c r="B313" s="270"/>
      <c r="C313" s="271" t="s">
        <v>332</v>
      </c>
      <c r="D313" s="260">
        <f>+G311*(235+I311)/310</f>
        <v>614.30038350568395</v>
      </c>
      <c r="E313" s="260" t="s">
        <v>384</v>
      </c>
      <c r="H313" s="271" t="s">
        <v>421</v>
      </c>
      <c r="I313" s="271">
        <v>75</v>
      </c>
      <c r="J313" s="260" t="s">
        <v>133</v>
      </c>
    </row>
    <row r="314" spans="2:10" ht="14.1" customHeight="1">
      <c r="B314" s="270" t="s">
        <v>427</v>
      </c>
      <c r="C314" s="271" t="s">
        <v>332</v>
      </c>
      <c r="D314" s="260" t="str">
        <f>+CONCATENATE(ROUND(G310,1),"x(235+75)/(235+",I311,")")</f>
        <v>2135.4x(235+75)/(235+20)</v>
      </c>
      <c r="H314" s="271"/>
      <c r="I314" s="271"/>
    </row>
    <row r="315" spans="2:10" ht="14.1" customHeight="1">
      <c r="B315" s="270"/>
      <c r="C315" s="271" t="s">
        <v>332</v>
      </c>
      <c r="D315" s="260">
        <f>+G310*310/(235+I311)</f>
        <v>2595.9624429217388</v>
      </c>
      <c r="E315" s="260" t="s">
        <v>384</v>
      </c>
      <c r="H315" s="271" t="s">
        <v>421</v>
      </c>
      <c r="I315" s="271">
        <v>75</v>
      </c>
      <c r="J315" s="260" t="s">
        <v>133</v>
      </c>
    </row>
    <row r="316" spans="2:10" ht="14.1" customHeight="1">
      <c r="B316" s="270"/>
      <c r="C316" s="271"/>
    </row>
    <row r="317" spans="2:10" ht="14.1" customHeight="1">
      <c r="B317" s="270" t="s">
        <v>429</v>
      </c>
      <c r="C317" s="271" t="s">
        <v>332</v>
      </c>
      <c r="D317" s="260" t="str">
        <f>+CONCATENATE(ROUND(D315,1),"+",ROUND(D313,1))</f>
        <v>2596+614.3</v>
      </c>
      <c r="F317" s="271" t="s">
        <v>332</v>
      </c>
      <c r="G317" s="281">
        <f>+D315+D313</f>
        <v>3210.2628264274226</v>
      </c>
      <c r="H317" s="260" t="s">
        <v>384</v>
      </c>
      <c r="I317" s="260" t="s">
        <v>430</v>
      </c>
    </row>
    <row r="318" spans="2:10" ht="14.1" customHeight="1">
      <c r="F318" s="271"/>
    </row>
    <row r="319" spans="2:10" ht="14.1" customHeight="1">
      <c r="B319" s="270" t="s">
        <v>431</v>
      </c>
      <c r="C319" s="271" t="s">
        <v>332</v>
      </c>
      <c r="D319" s="272" t="str">
        <f>+CONCATENATE(D302,"X",D296,"/(",D303,"x",D301,")")</f>
        <v>2467.5X13.36/(25000x12.75)</v>
      </c>
      <c r="F319" s="271" t="s">
        <v>332</v>
      </c>
      <c r="G319" s="288">
        <f>D302*D296/D303/D301</f>
        <v>0.10342211764705879</v>
      </c>
    </row>
    <row r="321" spans="1:10" ht="14.1" customHeight="1">
      <c r="A321" s="274" t="s">
        <v>348</v>
      </c>
      <c r="B321" s="275" t="s">
        <v>446</v>
      </c>
      <c r="D321" s="275"/>
    </row>
    <row r="322" spans="1:10" ht="14.1" customHeight="1">
      <c r="B322" s="270" t="s">
        <v>418</v>
      </c>
      <c r="C322" s="271" t="s">
        <v>332</v>
      </c>
      <c r="D322" s="271">
        <f>622.5/25</f>
        <v>24.9</v>
      </c>
      <c r="E322" s="271" t="s">
        <v>376</v>
      </c>
      <c r="F322" s="271"/>
      <c r="G322" s="271"/>
      <c r="H322" s="271"/>
    </row>
    <row r="323" spans="1:10" ht="14.1" customHeight="1">
      <c r="B323" s="270" t="s">
        <v>447</v>
      </c>
      <c r="C323" s="271" t="s">
        <v>332</v>
      </c>
      <c r="D323" s="290">
        <f>622.5/0.96</f>
        <v>648.4375</v>
      </c>
      <c r="E323" s="271" t="s">
        <v>376</v>
      </c>
      <c r="F323" s="271"/>
      <c r="G323" s="271"/>
      <c r="H323" s="271"/>
    </row>
    <row r="324" spans="1:10" ht="14.1" customHeight="1">
      <c r="B324" s="270" t="s">
        <v>420</v>
      </c>
      <c r="C324" s="271" t="s">
        <v>332</v>
      </c>
      <c r="D324" s="271">
        <f>+D298</f>
        <v>496.7</v>
      </c>
      <c r="E324" s="271" t="s">
        <v>339</v>
      </c>
      <c r="F324" s="271" t="s">
        <v>421</v>
      </c>
      <c r="G324" s="271">
        <f>+G298</f>
        <v>18</v>
      </c>
      <c r="H324" s="272" t="s">
        <v>133</v>
      </c>
    </row>
    <row r="325" spans="1:10" ht="14.1" customHeight="1">
      <c r="B325" s="270" t="s">
        <v>448</v>
      </c>
      <c r="C325" s="271" t="s">
        <v>332</v>
      </c>
      <c r="D325" s="271">
        <f>+E45</f>
        <v>12.792</v>
      </c>
      <c r="E325" s="271" t="s">
        <v>339</v>
      </c>
      <c r="F325" s="271" t="s">
        <v>421</v>
      </c>
      <c r="G325" s="271">
        <f>+G324</f>
        <v>18</v>
      </c>
      <c r="H325" s="272" t="s">
        <v>133</v>
      </c>
    </row>
    <row r="326" spans="1:10" ht="14.1" customHeight="1">
      <c r="B326" s="270" t="s">
        <v>401</v>
      </c>
      <c r="C326" s="271" t="s">
        <v>332</v>
      </c>
      <c r="D326" s="271">
        <f>+input!D69*input!D63</f>
        <v>7500</v>
      </c>
      <c r="E326" s="271"/>
      <c r="F326" s="271" t="s">
        <v>421</v>
      </c>
      <c r="G326" s="271">
        <f>+G300</f>
        <v>20</v>
      </c>
      <c r="H326" s="272" t="s">
        <v>133</v>
      </c>
    </row>
    <row r="327" spans="1:10" ht="14.1" customHeight="1">
      <c r="B327" s="270" t="s">
        <v>392</v>
      </c>
      <c r="C327" s="271" t="s">
        <v>332</v>
      </c>
      <c r="D327" s="271">
        <f>+input!B69*input!B63</f>
        <v>24</v>
      </c>
      <c r="E327" s="271" t="s">
        <v>376</v>
      </c>
      <c r="F327" s="271"/>
      <c r="G327" s="271"/>
      <c r="H327" s="271"/>
    </row>
    <row r="328" spans="1:10" ht="14.1" customHeight="1">
      <c r="B328" s="270" t="s">
        <v>396</v>
      </c>
      <c r="C328" s="271" t="s">
        <v>332</v>
      </c>
      <c r="D328" s="271">
        <f>+input!C69*input!C63</f>
        <v>3370.0000000000005</v>
      </c>
      <c r="E328" s="271" t="s">
        <v>423</v>
      </c>
      <c r="F328" s="271"/>
      <c r="G328" s="271"/>
      <c r="H328" s="271"/>
    </row>
    <row r="329" spans="1:10" ht="14.1" customHeight="1">
      <c r="B329" s="270" t="s">
        <v>394</v>
      </c>
      <c r="C329" s="271" t="s">
        <v>332</v>
      </c>
      <c r="D329" s="271">
        <v>25000</v>
      </c>
      <c r="E329" s="271" t="s">
        <v>423</v>
      </c>
      <c r="F329" s="271"/>
      <c r="G329" s="271"/>
      <c r="H329" s="271"/>
    </row>
    <row r="330" spans="1:10" ht="14.1" customHeight="1">
      <c r="B330" s="270"/>
      <c r="C330" s="271"/>
      <c r="D330" s="271"/>
      <c r="E330" s="271"/>
      <c r="F330" s="271"/>
      <c r="G330" s="271"/>
      <c r="H330" s="271"/>
    </row>
    <row r="331" spans="1:10" ht="14.1" customHeight="1">
      <c r="B331" s="270" t="s">
        <v>424</v>
      </c>
      <c r="C331" s="271" t="s">
        <v>332</v>
      </c>
      <c r="D331" s="260" t="str">
        <f>+CONCATENATE("(",D322,"/",D327,")^2 x ", D326)</f>
        <v>(24.9/24)^2 x 7500</v>
      </c>
      <c r="H331" s="271" t="s">
        <v>332</v>
      </c>
      <c r="I331" s="281">
        <f>+D322*D322*D326/D327/D327</f>
        <v>8073.0468749999991</v>
      </c>
      <c r="J331" s="260" t="s">
        <v>384</v>
      </c>
    </row>
    <row r="332" spans="1:10" ht="14.1" customHeight="1">
      <c r="B332" s="270" t="s">
        <v>425</v>
      </c>
      <c r="C332" s="271" t="s">
        <v>332</v>
      </c>
      <c r="D332" s="260" t="str">
        <f>+CONCATENATE(D322,"x",D322,"x",D324,"x(235+",G326,")/(235+",G324,")/1000")</f>
        <v>24.9x24.9x496.7x(235+20)/(235+18)/1000</v>
      </c>
    </row>
    <row r="333" spans="1:10" ht="14.1" customHeight="1">
      <c r="B333" s="270"/>
      <c r="C333" s="271" t="s">
        <v>332</v>
      </c>
      <c r="D333" s="281">
        <f>+D322*D322*D324*(235+G326)/(235+G324)/1000</f>
        <v>310.39342523715413</v>
      </c>
      <c r="E333" s="260" t="s">
        <v>384</v>
      </c>
    </row>
    <row r="334" spans="1:10" ht="14.1" customHeight="1">
      <c r="B334" s="270" t="s">
        <v>426</v>
      </c>
      <c r="C334" s="271" t="s">
        <v>332</v>
      </c>
      <c r="D334" s="260" t="str">
        <f>+CONCATENATE(ROUND(D323,1),"x",ROUND(D323,1),"x",D325,"x(235+",G326,")/(235+",G325,")/1000")</f>
        <v>648.4x648.4x12.792x(235+20)/(235+18)/1000</v>
      </c>
    </row>
    <row r="335" spans="1:10" ht="14.1" customHeight="1">
      <c r="B335" s="270"/>
      <c r="C335" s="271" t="s">
        <v>332</v>
      </c>
      <c r="D335" s="281">
        <f>+D323*D323*D325*(235+G326)/(235+G325)/1000</f>
        <v>5421.186590986289</v>
      </c>
      <c r="E335" s="260" t="s">
        <v>384</v>
      </c>
    </row>
    <row r="336" spans="1:10" ht="14.1" customHeight="1">
      <c r="B336" s="270" t="s">
        <v>427</v>
      </c>
      <c r="C336" s="271" t="s">
        <v>332</v>
      </c>
      <c r="D336" s="260" t="str">
        <f>+CONCATENATE(ROUND(D333,1),"+",ROUND(D335,1))</f>
        <v>310.4+5421.2</v>
      </c>
      <c r="F336" s="271" t="s">
        <v>332</v>
      </c>
      <c r="G336" s="281">
        <f>+D333+D335</f>
        <v>5731.5800162234427</v>
      </c>
      <c r="H336" s="260" t="s">
        <v>384</v>
      </c>
    </row>
    <row r="337" spans="1:10" ht="14.1" customHeight="1">
      <c r="B337" s="270" t="s">
        <v>428</v>
      </c>
      <c r="C337" s="271" t="s">
        <v>332</v>
      </c>
      <c r="D337" s="260" t="str">
        <f>+CONCATENATE(ROUND(I331,1),"-",ROUND(G336,1))</f>
        <v>8073-5731.6</v>
      </c>
      <c r="F337" s="271" t="s">
        <v>332</v>
      </c>
      <c r="G337" s="281">
        <f>+I331-G336</f>
        <v>2341.4668587765564</v>
      </c>
      <c r="H337" s="271" t="s">
        <v>421</v>
      </c>
      <c r="I337" s="271">
        <f>+G326</f>
        <v>20</v>
      </c>
      <c r="J337" s="260" t="s">
        <v>133</v>
      </c>
    </row>
    <row r="338" spans="1:10" ht="14.1" customHeight="1">
      <c r="B338" s="270" t="s">
        <v>428</v>
      </c>
      <c r="C338" s="271" t="s">
        <v>332</v>
      </c>
      <c r="D338" s="260" t="str">
        <f>+CONCATENATE(ROUND(G337,1),"x(235+",I337,")/(235+75)")</f>
        <v>2341.5x(235+20)/(235+75)</v>
      </c>
      <c r="H338" s="271"/>
      <c r="I338" s="271"/>
    </row>
    <row r="339" spans="1:10" ht="14.1" customHeight="1">
      <c r="B339" s="270"/>
      <c r="C339" s="271" t="s">
        <v>332</v>
      </c>
      <c r="D339" s="260">
        <f>+G337*(235+I337)/310</f>
        <v>1926.0453193161998</v>
      </c>
      <c r="E339" s="260" t="s">
        <v>384</v>
      </c>
      <c r="H339" s="271" t="s">
        <v>421</v>
      </c>
      <c r="I339" s="271">
        <v>75</v>
      </c>
      <c r="J339" s="260" t="s">
        <v>133</v>
      </c>
    </row>
    <row r="340" spans="1:10" ht="14.1" customHeight="1">
      <c r="B340" s="270" t="s">
        <v>427</v>
      </c>
      <c r="C340" s="271" t="s">
        <v>332</v>
      </c>
      <c r="D340" s="260" t="str">
        <f>+CONCATENATE(ROUND(G336,1),"x(235+75)/(235+",I337,")")</f>
        <v>5731.6x(235+75)/(235+20)</v>
      </c>
      <c r="H340" s="271"/>
      <c r="I340" s="271"/>
    </row>
    <row r="341" spans="1:10" ht="14.1" customHeight="1">
      <c r="B341" s="270"/>
      <c r="C341" s="271" t="s">
        <v>332</v>
      </c>
      <c r="D341" s="260">
        <f>+G336*310/(235+I337)</f>
        <v>6967.8031569775185</v>
      </c>
      <c r="E341" s="260" t="s">
        <v>384</v>
      </c>
      <c r="H341" s="271" t="s">
        <v>421</v>
      </c>
      <c r="I341" s="271">
        <v>75</v>
      </c>
      <c r="J341" s="260" t="s">
        <v>133</v>
      </c>
    </row>
    <row r="342" spans="1:10" ht="14.1" customHeight="1">
      <c r="B342" s="270"/>
      <c r="C342" s="271"/>
    </row>
    <row r="343" spans="1:10" ht="14.1" customHeight="1">
      <c r="B343" s="270" t="s">
        <v>429</v>
      </c>
      <c r="C343" s="271" t="s">
        <v>332</v>
      </c>
      <c r="D343" s="260" t="str">
        <f>+CONCATENATE(ROUND(D341,1),"+",ROUND(D339,1))</f>
        <v>6967.8+1926</v>
      </c>
      <c r="F343" s="271" t="s">
        <v>332</v>
      </c>
      <c r="G343" s="281">
        <f>+D341+D339</f>
        <v>8893.8484762937187</v>
      </c>
      <c r="H343" s="260" t="s">
        <v>384</v>
      </c>
      <c r="I343" s="260" t="s">
        <v>430</v>
      </c>
    </row>
    <row r="344" spans="1:10" ht="14.1" customHeight="1">
      <c r="F344" s="271"/>
    </row>
    <row r="345" spans="1:10" ht="14.1" customHeight="1">
      <c r="B345" s="270" t="s">
        <v>431</v>
      </c>
      <c r="C345" s="271" t="s">
        <v>332</v>
      </c>
      <c r="D345" s="272" t="str">
        <f>+CONCATENATE(D328,"X",D322,"/(",D329,"x",D327,")")</f>
        <v>3370X24.9/(25000x24)</v>
      </c>
      <c r="F345" s="271" t="s">
        <v>332</v>
      </c>
      <c r="G345" s="288">
        <f>D328*D322/D329/D327</f>
        <v>0.13985500000000001</v>
      </c>
    </row>
    <row r="347" spans="1:10" ht="14.1" customHeight="1">
      <c r="A347" s="274" t="s">
        <v>349</v>
      </c>
      <c r="B347" s="275" t="s">
        <v>449</v>
      </c>
      <c r="D347" s="275"/>
    </row>
    <row r="348" spans="1:10" ht="14.1" customHeight="1">
      <c r="B348" s="270" t="s">
        <v>418</v>
      </c>
      <c r="C348" s="271" t="s">
        <v>332</v>
      </c>
      <c r="D348" s="271">
        <f>622.5/25</f>
        <v>24.9</v>
      </c>
      <c r="E348" s="271" t="s">
        <v>376</v>
      </c>
      <c r="F348" s="271"/>
      <c r="G348" s="271"/>
      <c r="H348" s="271"/>
    </row>
    <row r="349" spans="1:10" ht="14.1" customHeight="1">
      <c r="B349" s="270" t="s">
        <v>450</v>
      </c>
      <c r="C349" s="271" t="s">
        <v>332</v>
      </c>
      <c r="D349" s="290">
        <f>622.5/0.96</f>
        <v>648.4375</v>
      </c>
      <c r="E349" s="271" t="s">
        <v>376</v>
      </c>
      <c r="F349" s="271"/>
      <c r="G349" s="271"/>
      <c r="H349" s="271"/>
    </row>
    <row r="350" spans="1:10" ht="14.1" customHeight="1">
      <c r="B350" s="270" t="s">
        <v>420</v>
      </c>
      <c r="C350" s="271" t="s">
        <v>332</v>
      </c>
      <c r="D350" s="271">
        <f>+D324</f>
        <v>496.7</v>
      </c>
      <c r="E350" s="271" t="s">
        <v>339</v>
      </c>
      <c r="F350" s="271" t="s">
        <v>421</v>
      </c>
      <c r="G350" s="271">
        <f>+G324</f>
        <v>18</v>
      </c>
      <c r="H350" s="272" t="s">
        <v>133</v>
      </c>
    </row>
    <row r="351" spans="1:10" ht="14.1" customHeight="1">
      <c r="B351" s="270" t="s">
        <v>451</v>
      </c>
      <c r="C351" s="271" t="s">
        <v>332</v>
      </c>
      <c r="D351" s="271">
        <f>+E50</f>
        <v>12.827</v>
      </c>
      <c r="E351" s="271" t="s">
        <v>339</v>
      </c>
      <c r="F351" s="271" t="s">
        <v>421</v>
      </c>
      <c r="G351" s="271">
        <f>+G350</f>
        <v>18</v>
      </c>
      <c r="H351" s="272" t="s">
        <v>133</v>
      </c>
    </row>
    <row r="352" spans="1:10" ht="14.1" customHeight="1">
      <c r="B352" s="270" t="s">
        <v>401</v>
      </c>
      <c r="C352" s="271" t="s">
        <v>332</v>
      </c>
      <c r="D352" s="271">
        <f>+input!D70*input!D63</f>
        <v>7500</v>
      </c>
      <c r="E352" s="271"/>
      <c r="F352" s="271" t="s">
        <v>421</v>
      </c>
      <c r="G352" s="271">
        <f>+G326</f>
        <v>20</v>
      </c>
      <c r="H352" s="272" t="s">
        <v>133</v>
      </c>
    </row>
    <row r="353" spans="2:10" ht="14.1" customHeight="1">
      <c r="B353" s="270" t="s">
        <v>392</v>
      </c>
      <c r="C353" s="271" t="s">
        <v>332</v>
      </c>
      <c r="D353" s="271">
        <f>+input!B70*input!B63</f>
        <v>24</v>
      </c>
      <c r="E353" s="271" t="s">
        <v>376</v>
      </c>
      <c r="F353" s="271"/>
      <c r="G353" s="271"/>
      <c r="H353" s="271"/>
    </row>
    <row r="354" spans="2:10" ht="14.1" customHeight="1">
      <c r="B354" s="270" t="s">
        <v>396</v>
      </c>
      <c r="C354" s="271" t="s">
        <v>332</v>
      </c>
      <c r="D354" s="271">
        <f>+input!C70*input!C63</f>
        <v>3340</v>
      </c>
      <c r="E354" s="271" t="s">
        <v>423</v>
      </c>
      <c r="F354" s="271"/>
      <c r="G354" s="271"/>
      <c r="H354" s="271"/>
    </row>
    <row r="355" spans="2:10" ht="14.1" customHeight="1">
      <c r="B355" s="270" t="s">
        <v>394</v>
      </c>
      <c r="C355" s="271" t="s">
        <v>332</v>
      </c>
      <c r="D355" s="271">
        <v>25000</v>
      </c>
      <c r="E355" s="271" t="s">
        <v>423</v>
      </c>
      <c r="F355" s="271"/>
      <c r="G355" s="271"/>
      <c r="H355" s="271"/>
    </row>
    <row r="356" spans="2:10" ht="14.1" customHeight="1">
      <c r="B356" s="270"/>
      <c r="C356" s="271"/>
      <c r="D356" s="271"/>
      <c r="E356" s="271"/>
      <c r="F356" s="271"/>
      <c r="G356" s="271"/>
      <c r="H356" s="271"/>
    </row>
    <row r="357" spans="2:10" ht="14.1" customHeight="1">
      <c r="B357" s="270" t="s">
        <v>424</v>
      </c>
      <c r="C357" s="271" t="s">
        <v>332</v>
      </c>
      <c r="D357" s="260" t="str">
        <f>+CONCATENATE("(",D348,"/",D353,")^2 x ", D352)</f>
        <v>(24.9/24)^2 x 7500</v>
      </c>
      <c r="H357" s="271" t="s">
        <v>332</v>
      </c>
      <c r="I357" s="281">
        <f>+D348*D348*D352/D353/D353</f>
        <v>8073.0468749999991</v>
      </c>
      <c r="J357" s="260" t="s">
        <v>384</v>
      </c>
    </row>
    <row r="358" spans="2:10" ht="14.1" customHeight="1">
      <c r="B358" s="270" t="s">
        <v>425</v>
      </c>
      <c r="C358" s="271" t="s">
        <v>332</v>
      </c>
      <c r="D358" s="260" t="str">
        <f>+CONCATENATE(D348,"x",D348,"x",D350,"x(235+",G352,")/(235+",G350,")/1000")</f>
        <v>24.9x24.9x496.7x(235+20)/(235+18)/1000</v>
      </c>
    </row>
    <row r="359" spans="2:10" ht="14.1" customHeight="1">
      <c r="B359" s="270"/>
      <c r="C359" s="271" t="s">
        <v>332</v>
      </c>
      <c r="D359" s="281">
        <f>+D348*D348*D350*(235+G352)/(235+G350)/1000</f>
        <v>310.39342523715413</v>
      </c>
      <c r="E359" s="260" t="s">
        <v>384</v>
      </c>
    </row>
    <row r="360" spans="2:10" ht="14.1" customHeight="1">
      <c r="B360" s="270" t="s">
        <v>426</v>
      </c>
      <c r="C360" s="271" t="s">
        <v>332</v>
      </c>
      <c r="D360" s="260" t="str">
        <f>+CONCATENATE(ROUND(D349,1),"x",ROUND(D349,1),"x",D351,"x(235+",G352,")/(235+",G351,")/1000")</f>
        <v>648.4x648.4x12.827x(235+20)/(235+18)/1000</v>
      </c>
    </row>
    <row r="361" spans="2:10" ht="14.1" customHeight="1">
      <c r="B361" s="270"/>
      <c r="C361" s="271" t="s">
        <v>332</v>
      </c>
      <c r="D361" s="281">
        <f>+D349*D349*D351*(235+G352)/(235+G351)/1000</f>
        <v>5436.0194185882683</v>
      </c>
      <c r="E361" s="260" t="s">
        <v>384</v>
      </c>
    </row>
    <row r="362" spans="2:10" ht="14.1" customHeight="1">
      <c r="B362" s="270" t="s">
        <v>427</v>
      </c>
      <c r="C362" s="271" t="s">
        <v>332</v>
      </c>
      <c r="D362" s="260" t="str">
        <f>+CONCATENATE(ROUND(D359,1),"+",ROUND(D361,1))</f>
        <v>310.4+5436</v>
      </c>
      <c r="F362" s="271" t="s">
        <v>332</v>
      </c>
      <c r="G362" s="281">
        <f>+D359+D361</f>
        <v>5746.4128438254229</v>
      </c>
      <c r="H362" s="260" t="s">
        <v>384</v>
      </c>
    </row>
    <row r="363" spans="2:10" ht="14.1" customHeight="1">
      <c r="B363" s="270" t="s">
        <v>428</v>
      </c>
      <c r="C363" s="271" t="s">
        <v>332</v>
      </c>
      <c r="D363" s="260" t="str">
        <f>+CONCATENATE(ROUND(I357,1),"-",ROUND(G362,1))</f>
        <v>8073-5746.4</v>
      </c>
      <c r="F363" s="271" t="s">
        <v>332</v>
      </c>
      <c r="G363" s="281">
        <f>+I357-G362</f>
        <v>2326.6340311745762</v>
      </c>
      <c r="H363" s="271" t="s">
        <v>421</v>
      </c>
      <c r="I363" s="271">
        <f>+G352</f>
        <v>20</v>
      </c>
      <c r="J363" s="260" t="s">
        <v>133</v>
      </c>
    </row>
    <row r="364" spans="2:10" ht="14.1" customHeight="1">
      <c r="B364" s="270" t="s">
        <v>428</v>
      </c>
      <c r="C364" s="271" t="s">
        <v>332</v>
      </c>
      <c r="D364" s="260" t="str">
        <f>+CONCATENATE(ROUND(G363,1),"x(235+",I363,")/(235+75)")</f>
        <v>2326.6x(235+20)/(235+75)</v>
      </c>
      <c r="H364" s="271"/>
      <c r="I364" s="271"/>
    </row>
    <row r="365" spans="2:10" ht="14.1" customHeight="1">
      <c r="B365" s="270"/>
      <c r="C365" s="271" t="s">
        <v>332</v>
      </c>
      <c r="D365" s="260">
        <f>+G363*(235+I363)/310</f>
        <v>1913.8441224177966</v>
      </c>
      <c r="E365" s="260" t="s">
        <v>384</v>
      </c>
      <c r="H365" s="271" t="s">
        <v>421</v>
      </c>
      <c r="I365" s="271">
        <v>75</v>
      </c>
      <c r="J365" s="260" t="s">
        <v>133</v>
      </c>
    </row>
    <row r="366" spans="2:10" ht="14.1" customHeight="1">
      <c r="B366" s="270" t="s">
        <v>427</v>
      </c>
      <c r="C366" s="271" t="s">
        <v>332</v>
      </c>
      <c r="D366" s="260" t="str">
        <f>+CONCATENATE(ROUND(G362,1),"x(235+75)/(235+",I363,")")</f>
        <v>5746.4x(235+75)/(235+20)</v>
      </c>
      <c r="H366" s="271"/>
      <c r="I366" s="271"/>
    </row>
    <row r="367" spans="2:10" ht="14.1" customHeight="1">
      <c r="B367" s="270"/>
      <c r="C367" s="271" t="s">
        <v>332</v>
      </c>
      <c r="D367" s="260">
        <f>+G362*310/(235+I363)</f>
        <v>6985.8352219054168</v>
      </c>
      <c r="E367" s="260" t="s">
        <v>384</v>
      </c>
      <c r="H367" s="271" t="s">
        <v>421</v>
      </c>
      <c r="I367" s="271">
        <v>75</v>
      </c>
      <c r="J367" s="260" t="s">
        <v>133</v>
      </c>
    </row>
    <row r="368" spans="2:10" ht="14.1" customHeight="1">
      <c r="B368" s="270"/>
      <c r="C368" s="271"/>
    </row>
    <row r="369" spans="1:9" ht="14.1" customHeight="1">
      <c r="B369" s="270" t="s">
        <v>429</v>
      </c>
      <c r="C369" s="271" t="s">
        <v>332</v>
      </c>
      <c r="D369" s="260" t="str">
        <f>+CONCATENATE(ROUND(D367,1),"+",ROUND(D365,1))</f>
        <v>6985.8+1913.8</v>
      </c>
      <c r="F369" s="271" t="s">
        <v>332</v>
      </c>
      <c r="G369" s="281">
        <f>+D367+D365</f>
        <v>8899.6793443232127</v>
      </c>
      <c r="H369" s="260" t="s">
        <v>384</v>
      </c>
      <c r="I369" s="260" t="s">
        <v>430</v>
      </c>
    </row>
    <row r="370" spans="1:9" ht="14.1" customHeight="1">
      <c r="F370" s="271"/>
    </row>
    <row r="371" spans="1:9" ht="14.1" customHeight="1">
      <c r="B371" s="270" t="s">
        <v>431</v>
      </c>
      <c r="C371" s="271" t="s">
        <v>332</v>
      </c>
      <c r="D371" s="272" t="str">
        <f>+CONCATENATE(D354,"X",D348,"/(",D355,"x",D353,")")</f>
        <v>3340X24.9/(25000x24)</v>
      </c>
      <c r="F371" s="271" t="s">
        <v>332</v>
      </c>
      <c r="G371" s="288">
        <f>D354*D348/D355/D353</f>
        <v>0.13860999999999998</v>
      </c>
    </row>
    <row r="375" spans="1:9" ht="14.1" customHeight="1">
      <c r="A375" s="274" t="s">
        <v>350</v>
      </c>
      <c r="B375" s="275" t="s">
        <v>452</v>
      </c>
      <c r="D375" s="275"/>
    </row>
    <row r="376" spans="1:9" ht="14.1" customHeight="1">
      <c r="B376" s="270" t="s">
        <v>418</v>
      </c>
      <c r="C376" s="271" t="s">
        <v>332</v>
      </c>
      <c r="D376" s="271">
        <f>1245/25</f>
        <v>49.8</v>
      </c>
      <c r="E376" s="271" t="s">
        <v>376</v>
      </c>
      <c r="F376" s="271"/>
      <c r="G376" s="271"/>
      <c r="H376" s="271"/>
    </row>
    <row r="377" spans="1:9" ht="14.1" customHeight="1">
      <c r="B377" s="270" t="s">
        <v>453</v>
      </c>
      <c r="C377" s="271" t="s">
        <v>332</v>
      </c>
      <c r="D377" s="290">
        <f>1245/(2*0.96)</f>
        <v>648.4375</v>
      </c>
      <c r="E377" s="271" t="s">
        <v>376</v>
      </c>
      <c r="F377" s="271"/>
      <c r="G377" s="271"/>
      <c r="H377" s="271"/>
    </row>
    <row r="378" spans="1:9" ht="14.1" customHeight="1">
      <c r="B378" s="270" t="s">
        <v>420</v>
      </c>
      <c r="C378" s="271" t="s">
        <v>332</v>
      </c>
      <c r="D378" s="271">
        <f>+D350</f>
        <v>496.7</v>
      </c>
      <c r="E378" s="271" t="s">
        <v>339</v>
      </c>
      <c r="F378" s="271" t="s">
        <v>421</v>
      </c>
      <c r="G378" s="271">
        <f>+G350</f>
        <v>18</v>
      </c>
      <c r="H378" s="272" t="s">
        <v>133</v>
      </c>
    </row>
    <row r="379" spans="1:9" ht="14.1" customHeight="1">
      <c r="B379" s="270" t="s">
        <v>454</v>
      </c>
      <c r="C379" s="271" t="s">
        <v>332</v>
      </c>
      <c r="D379" s="271">
        <f>E54</f>
        <v>25.619</v>
      </c>
      <c r="E379" s="271" t="s">
        <v>339</v>
      </c>
      <c r="F379" s="271" t="s">
        <v>421</v>
      </c>
      <c r="G379" s="271">
        <f>+G378</f>
        <v>18</v>
      </c>
      <c r="H379" s="272" t="s">
        <v>133</v>
      </c>
    </row>
    <row r="380" spans="1:9" ht="14.1" customHeight="1">
      <c r="B380" s="270" t="s">
        <v>401</v>
      </c>
      <c r="C380" s="271" t="s">
        <v>332</v>
      </c>
      <c r="D380" s="271">
        <f>+input!D63*input!D71</f>
        <v>21000</v>
      </c>
      <c r="E380" s="271"/>
      <c r="F380" s="271" t="s">
        <v>421</v>
      </c>
      <c r="G380" s="271">
        <f>+G352</f>
        <v>20</v>
      </c>
      <c r="H380" s="272" t="s">
        <v>133</v>
      </c>
    </row>
    <row r="381" spans="1:9" ht="14.1" customHeight="1">
      <c r="B381" s="270" t="s">
        <v>392</v>
      </c>
      <c r="C381" s="271" t="s">
        <v>332</v>
      </c>
      <c r="D381" s="271">
        <f>+input!B71*input!B63</f>
        <v>49.5</v>
      </c>
      <c r="E381" s="271" t="s">
        <v>376</v>
      </c>
      <c r="F381" s="271"/>
      <c r="G381" s="271"/>
      <c r="H381" s="271"/>
    </row>
    <row r="382" spans="1:9" ht="14.1" customHeight="1">
      <c r="B382" s="270" t="s">
        <v>396</v>
      </c>
      <c r="C382" s="271" t="s">
        <v>332</v>
      </c>
      <c r="D382" s="271">
        <f>+input!C71*input!C63</f>
        <v>4920</v>
      </c>
      <c r="E382" s="271" t="s">
        <v>423</v>
      </c>
      <c r="F382" s="271"/>
      <c r="G382" s="271"/>
      <c r="H382" s="271"/>
    </row>
    <row r="383" spans="1:9" ht="14.1" customHeight="1">
      <c r="B383" s="270" t="s">
        <v>394</v>
      </c>
      <c r="C383" s="271" t="s">
        <v>332</v>
      </c>
      <c r="D383" s="271">
        <v>25000</v>
      </c>
      <c r="E383" s="271" t="s">
        <v>423</v>
      </c>
      <c r="F383" s="271"/>
      <c r="G383" s="271"/>
      <c r="H383" s="271"/>
    </row>
    <row r="384" spans="1:9" ht="14.1" customHeight="1">
      <c r="B384" s="270"/>
      <c r="C384" s="271"/>
      <c r="D384" s="271"/>
      <c r="E384" s="271"/>
      <c r="F384" s="271"/>
      <c r="G384" s="271"/>
      <c r="H384" s="271"/>
    </row>
    <row r="385" spans="2:10" ht="14.1" customHeight="1">
      <c r="B385" s="270" t="s">
        <v>424</v>
      </c>
      <c r="C385" s="271" t="s">
        <v>332</v>
      </c>
      <c r="D385" s="260" t="str">
        <f>+CONCATENATE("(",D376,"/",D381,")^2 x ", D380)</f>
        <v>(49.8/49.5)^2 x 21000</v>
      </c>
      <c r="H385" s="271" t="s">
        <v>332</v>
      </c>
      <c r="I385" s="281">
        <f>+D376*D376*D380/D381/D381</f>
        <v>21255.31680440771</v>
      </c>
      <c r="J385" s="260" t="s">
        <v>384</v>
      </c>
    </row>
    <row r="386" spans="2:10" ht="14.1" customHeight="1">
      <c r="B386" s="270" t="s">
        <v>425</v>
      </c>
      <c r="C386" s="271" t="s">
        <v>332</v>
      </c>
      <c r="D386" s="260" t="str">
        <f>+CONCATENATE(D376,"x",D376,"x",D378,"x(235+",G380,")/(235+",G378,")/1000")</f>
        <v>49.8x49.8x496.7x(235+20)/(235+18)/1000</v>
      </c>
    </row>
    <row r="387" spans="2:10" ht="14.1" customHeight="1">
      <c r="B387" s="270"/>
      <c r="C387" s="271" t="s">
        <v>332</v>
      </c>
      <c r="D387" s="281">
        <f>+D376*D376*D378*(235+G380)/(235+G378)/1000</f>
        <v>1241.5737009486165</v>
      </c>
      <c r="E387" s="260" t="s">
        <v>384</v>
      </c>
    </row>
    <row r="388" spans="2:10" ht="14.1" customHeight="1">
      <c r="B388" s="270" t="s">
        <v>455</v>
      </c>
      <c r="C388" s="271" t="s">
        <v>332</v>
      </c>
      <c r="D388" s="260" t="str">
        <f>+CONCATENATE(ROUND(D377,1),"x",ROUND(D377,1),"x",D379,"x(235+",G380,")/(235+",G379,")/1000")</f>
        <v>648.4x648.4x25.619x(235+20)/(235+18)/1000</v>
      </c>
    </row>
    <row r="389" spans="2:10" ht="14.1" customHeight="1">
      <c r="B389" s="270"/>
      <c r="C389" s="271" t="s">
        <v>332</v>
      </c>
      <c r="D389" s="281">
        <f>+D377*D377*D379*(235+G380)/(235+G379)/1000</f>
        <v>10857.206009574558</v>
      </c>
      <c r="E389" s="260" t="s">
        <v>384</v>
      </c>
    </row>
    <row r="390" spans="2:10" ht="14.1" customHeight="1">
      <c r="B390" s="270" t="s">
        <v>427</v>
      </c>
      <c r="C390" s="271" t="s">
        <v>332</v>
      </c>
      <c r="D390" s="260" t="str">
        <f>+CONCATENATE(ROUND(D387,1),"+",ROUND(D389,1))</f>
        <v>1241.6+10857.2</v>
      </c>
      <c r="F390" s="271" t="s">
        <v>332</v>
      </c>
      <c r="G390" s="281">
        <f>+D387+D389</f>
        <v>12098.779710523175</v>
      </c>
      <c r="H390" s="260" t="s">
        <v>384</v>
      </c>
    </row>
    <row r="391" spans="2:10" ht="14.1" customHeight="1">
      <c r="B391" s="270" t="s">
        <v>428</v>
      </c>
      <c r="C391" s="271" t="s">
        <v>332</v>
      </c>
      <c r="D391" s="260" t="str">
        <f>+CONCATENATE(ROUND(I385,1),"-",ROUND(G390,1))</f>
        <v>21255.3-12098.8</v>
      </c>
      <c r="F391" s="271" t="s">
        <v>332</v>
      </c>
      <c r="G391" s="281">
        <f>+I385-G390</f>
        <v>9156.5370938845354</v>
      </c>
      <c r="H391" s="271" t="s">
        <v>421</v>
      </c>
      <c r="I391" s="271">
        <v>24</v>
      </c>
      <c r="J391" s="260" t="s">
        <v>133</v>
      </c>
    </row>
    <row r="392" spans="2:10" ht="14.1" customHeight="1">
      <c r="B392" s="270" t="s">
        <v>428</v>
      </c>
      <c r="C392" s="271" t="s">
        <v>332</v>
      </c>
      <c r="D392" s="260" t="str">
        <f>+CONCATENATE(ROUND(G391,1),"x(235+",I391,")/(235+75)")</f>
        <v>9156.5x(235+24)/(235+75)</v>
      </c>
      <c r="H392" s="271"/>
      <c r="I392" s="271"/>
    </row>
    <row r="393" spans="2:10" ht="14.1" customHeight="1">
      <c r="B393" s="270"/>
      <c r="C393" s="271" t="s">
        <v>332</v>
      </c>
      <c r="D393" s="260">
        <f>+G391*(235+I391)/310</f>
        <v>7650.1390558583689</v>
      </c>
      <c r="E393" s="260" t="s">
        <v>384</v>
      </c>
      <c r="H393" s="271" t="s">
        <v>421</v>
      </c>
      <c r="I393" s="271">
        <v>75</v>
      </c>
      <c r="J393" s="260" t="s">
        <v>133</v>
      </c>
    </row>
    <row r="394" spans="2:10" ht="14.1" customHeight="1">
      <c r="B394" s="270" t="s">
        <v>427</v>
      </c>
      <c r="C394" s="271" t="s">
        <v>332</v>
      </c>
      <c r="D394" s="260" t="str">
        <f>+CONCATENATE(ROUND(G390,1),"x(235+75)/(235+",I391,")")</f>
        <v>12098.8x(235+75)/(235+24)</v>
      </c>
      <c r="H394" s="271"/>
      <c r="I394" s="271"/>
    </row>
    <row r="395" spans="2:10" ht="14.1" customHeight="1">
      <c r="B395" s="270"/>
      <c r="C395" s="271" t="s">
        <v>332</v>
      </c>
      <c r="D395" s="260">
        <f>+G390*310/(235+I391)</f>
        <v>14481.164904487197</v>
      </c>
      <c r="E395" s="260" t="s">
        <v>384</v>
      </c>
      <c r="H395" s="271" t="s">
        <v>421</v>
      </c>
      <c r="I395" s="271">
        <v>75</v>
      </c>
      <c r="J395" s="260" t="s">
        <v>133</v>
      </c>
    </row>
    <row r="396" spans="2:10" ht="14.1" customHeight="1">
      <c r="B396" s="270"/>
      <c r="C396" s="271"/>
    </row>
    <row r="397" spans="2:10" ht="14.1" customHeight="1">
      <c r="B397" s="270" t="s">
        <v>429</v>
      </c>
      <c r="C397" s="271" t="s">
        <v>332</v>
      </c>
      <c r="D397" s="260" t="str">
        <f>+CONCATENATE(ROUND(D395,1),"+",ROUND(D393,1))</f>
        <v>14481.2+7650.1</v>
      </c>
      <c r="F397" s="271" t="s">
        <v>332</v>
      </c>
      <c r="G397" s="281">
        <f>+D395+D393</f>
        <v>22131.303960345565</v>
      </c>
      <c r="H397" s="260" t="s">
        <v>384</v>
      </c>
      <c r="I397" s="260" t="s">
        <v>430</v>
      </c>
    </row>
    <row r="398" spans="2:10" ht="14.1" customHeight="1">
      <c r="F398" s="271"/>
    </row>
    <row r="399" spans="2:10" ht="14.1" customHeight="1">
      <c r="B399" s="270" t="s">
        <v>431</v>
      </c>
      <c r="C399" s="271" t="s">
        <v>332</v>
      </c>
      <c r="D399" s="272" t="str">
        <f>+CONCATENATE(D382,"X",D376,"/(",D383,"x",D381,")")</f>
        <v>4920X49.8/(25000x49.5)</v>
      </c>
      <c r="F399" s="271" t="s">
        <v>332</v>
      </c>
      <c r="G399" s="288">
        <f>D382*D376/D383/D381</f>
        <v>0.19799272727272726</v>
      </c>
    </row>
    <row r="401" spans="1:8" ht="14.1" customHeight="1">
      <c r="A401" s="264">
        <v>5</v>
      </c>
      <c r="B401" s="267" t="s">
        <v>456</v>
      </c>
    </row>
    <row r="402" spans="1:8" ht="9" customHeight="1"/>
    <row r="403" spans="1:8" ht="14.1" customHeight="1">
      <c r="B403" s="270" t="s">
        <v>392</v>
      </c>
      <c r="C403" s="271" t="s">
        <v>332</v>
      </c>
      <c r="D403" s="260" t="s">
        <v>393</v>
      </c>
    </row>
    <row r="404" spans="1:8" ht="14.1" customHeight="1">
      <c r="B404" s="270" t="s">
        <v>396</v>
      </c>
      <c r="C404" s="271" t="s">
        <v>332</v>
      </c>
      <c r="D404" s="260" t="s">
        <v>397</v>
      </c>
    </row>
    <row r="405" spans="1:8" ht="14.1" customHeight="1">
      <c r="B405" s="270" t="s">
        <v>457</v>
      </c>
      <c r="C405" s="271" t="s">
        <v>332</v>
      </c>
      <c r="D405" s="260" t="s">
        <v>458</v>
      </c>
      <c r="E405" s="271" t="s">
        <v>332</v>
      </c>
      <c r="F405" s="339" t="s">
        <v>459</v>
      </c>
      <c r="G405" s="339"/>
    </row>
    <row r="406" spans="1:8" ht="9" customHeight="1"/>
    <row r="407" spans="1:8" ht="14.1" customHeight="1">
      <c r="A407" s="275" t="s">
        <v>338</v>
      </c>
      <c r="B407" s="275" t="s">
        <v>351</v>
      </c>
    </row>
    <row r="408" spans="1:8" ht="14.1" customHeight="1">
      <c r="B408" s="270" t="s">
        <v>392</v>
      </c>
      <c r="C408" s="271" t="s">
        <v>332</v>
      </c>
      <c r="D408" s="271">
        <f>+input!B79*input!B78</f>
        <v>300</v>
      </c>
    </row>
    <row r="409" spans="1:8" ht="14.1" customHeight="1">
      <c r="B409" s="270" t="s">
        <v>396</v>
      </c>
      <c r="C409" s="271" t="s">
        <v>332</v>
      </c>
      <c r="D409" s="271">
        <f>+input!C79*input!C78</f>
        <v>53.6</v>
      </c>
    </row>
    <row r="410" spans="1:8" ht="14.1" customHeight="1">
      <c r="B410" s="270" t="s">
        <v>457</v>
      </c>
      <c r="C410" s="271" t="s">
        <v>332</v>
      </c>
      <c r="D410" s="260" t="str">
        <f>+CONCATENATE(D408,"/(2π x 50 x ",D409,")")</f>
        <v>300/(2π x 50 x 53.6)</v>
      </c>
      <c r="F410" s="271" t="s">
        <v>332</v>
      </c>
      <c r="G410" s="277">
        <f>+D409*1000/D408/2/PI()/50</f>
        <v>0.56871366331503936</v>
      </c>
      <c r="H410" s="260" t="s">
        <v>460</v>
      </c>
    </row>
    <row r="411" spans="1:8" ht="14.1" customHeight="1">
      <c r="A411" s="275" t="s">
        <v>340</v>
      </c>
      <c r="B411" s="275" t="s">
        <v>353</v>
      </c>
      <c r="F411" s="271"/>
    </row>
    <row r="412" spans="1:8" ht="14.1" customHeight="1">
      <c r="B412" s="270" t="s">
        <v>392</v>
      </c>
      <c r="C412" s="271" t="s">
        <v>332</v>
      </c>
      <c r="D412" s="271">
        <f>+input!B80*input!B78</f>
        <v>300</v>
      </c>
      <c r="F412" s="271"/>
    </row>
    <row r="413" spans="1:8" ht="14.1" customHeight="1">
      <c r="B413" s="270" t="s">
        <v>396</v>
      </c>
      <c r="C413" s="271" t="s">
        <v>332</v>
      </c>
      <c r="D413" s="271">
        <f>+input!C80*input!C78</f>
        <v>53</v>
      </c>
      <c r="F413" s="271"/>
    </row>
    <row r="414" spans="1:8" ht="14.1" customHeight="1">
      <c r="B414" s="270" t="s">
        <v>457</v>
      </c>
      <c r="C414" s="271" t="s">
        <v>332</v>
      </c>
      <c r="D414" s="260" t="str">
        <f>+CONCATENATE(D412,"/(2π x 50 x ",D413,")")</f>
        <v>300/(2π x 50 x 53)</v>
      </c>
      <c r="F414" s="271" t="s">
        <v>332</v>
      </c>
      <c r="G414" s="277">
        <f>+D413*1000/D412/2/PI()/50</f>
        <v>0.5623474655913635</v>
      </c>
      <c r="H414" s="260" t="s">
        <v>460</v>
      </c>
    </row>
    <row r="415" spans="1:8" ht="14.1" customHeight="1">
      <c r="A415" s="275" t="s">
        <v>341</v>
      </c>
      <c r="B415" s="275" t="s">
        <v>461</v>
      </c>
      <c r="F415" s="260" t="s">
        <v>462</v>
      </c>
    </row>
    <row r="416" spans="1:8" ht="14.1" customHeight="1">
      <c r="B416" s="270" t="s">
        <v>392</v>
      </c>
      <c r="C416" s="271" t="s">
        <v>332</v>
      </c>
      <c r="D416" s="271">
        <f>+input!C85*input!C84</f>
        <v>120</v>
      </c>
    </row>
    <row r="417" spans="1:8" ht="14.1" customHeight="1">
      <c r="B417" s="270" t="s">
        <v>396</v>
      </c>
      <c r="C417" s="271" t="s">
        <v>332</v>
      </c>
      <c r="D417" s="271">
        <f>+input!D85*input!D84</f>
        <v>1088</v>
      </c>
    </row>
    <row r="418" spans="1:8" ht="14.1" customHeight="1">
      <c r="B418" s="270" t="s">
        <v>457</v>
      </c>
      <c r="C418" s="271" t="s">
        <v>332</v>
      </c>
      <c r="D418" s="260" t="str">
        <f>+CONCATENATE(D416,"/(2π x 50 x ",D417,")")</f>
        <v>120/(2π x 50 x 1088)</v>
      </c>
      <c r="F418" s="271" t="s">
        <v>332</v>
      </c>
      <c r="G418" s="277">
        <f>+D417*1000/D416/2/PI()/50</f>
        <v>28.860096347330355</v>
      </c>
      <c r="H418" s="260" t="s">
        <v>460</v>
      </c>
    </row>
    <row r="419" spans="1:8" ht="14.1" customHeight="1">
      <c r="B419" s="270" t="s">
        <v>463</v>
      </c>
      <c r="C419" s="271" t="s">
        <v>332</v>
      </c>
      <c r="D419" s="260" t="str">
        <f>+CONCATENATE(ROUND(G418,3),"/2")</f>
        <v>28.86/2</v>
      </c>
      <c r="E419" s="260" t="s">
        <v>332</v>
      </c>
      <c r="F419" s="260">
        <f>+G418/2</f>
        <v>14.430048173665178</v>
      </c>
      <c r="G419" s="260" t="s">
        <v>460</v>
      </c>
    </row>
    <row r="420" spans="1:8" ht="14.1" customHeight="1">
      <c r="A420" s="275" t="s">
        <v>343</v>
      </c>
      <c r="B420" s="275" t="s">
        <v>464</v>
      </c>
      <c r="F420" s="260" t="s">
        <v>465</v>
      </c>
    </row>
    <row r="421" spans="1:8" ht="14.1" customHeight="1">
      <c r="B421" s="270" t="s">
        <v>392</v>
      </c>
      <c r="C421" s="271" t="s">
        <v>332</v>
      </c>
      <c r="D421" s="271">
        <f>+input!C86*input!C84</f>
        <v>120</v>
      </c>
    </row>
    <row r="422" spans="1:8" ht="14.1" customHeight="1">
      <c r="B422" s="270" t="s">
        <v>396</v>
      </c>
      <c r="C422" s="271" t="s">
        <v>332</v>
      </c>
      <c r="D422" s="271">
        <f>+input!D86*input!D84</f>
        <v>1072</v>
      </c>
    </row>
    <row r="423" spans="1:8" ht="14.1" customHeight="1">
      <c r="B423" s="270" t="s">
        <v>457</v>
      </c>
      <c r="C423" s="271" t="s">
        <v>332</v>
      </c>
      <c r="D423" s="260" t="str">
        <f>+CONCATENATE(D421,"/(2π x 50 x ",D422,")")</f>
        <v>120/(2π x 50 x 1072)</v>
      </c>
      <c r="F423" s="271" t="s">
        <v>332</v>
      </c>
      <c r="G423" s="277">
        <f>+D422*1000/D421/2/PI()/50</f>
        <v>28.435683165751971</v>
      </c>
      <c r="H423" s="260" t="s">
        <v>460</v>
      </c>
    </row>
    <row r="424" spans="1:8" ht="14.1" customHeight="1">
      <c r="B424" s="270" t="s">
        <v>463</v>
      </c>
      <c r="C424" s="271" t="s">
        <v>332</v>
      </c>
      <c r="D424" s="260" t="str">
        <f>+CONCATENATE(ROUND(G423,3),"/2")</f>
        <v>28.436/2</v>
      </c>
      <c r="E424" s="260" t="s">
        <v>332</v>
      </c>
      <c r="F424" s="260">
        <f>+G423/2</f>
        <v>14.217841582875986</v>
      </c>
      <c r="G424" s="260" t="s">
        <v>460</v>
      </c>
    </row>
    <row r="425" spans="1:8" ht="14.1" customHeight="1">
      <c r="A425" s="275" t="s">
        <v>344</v>
      </c>
      <c r="B425" s="275" t="s">
        <v>466</v>
      </c>
      <c r="F425" s="260" t="s">
        <v>467</v>
      </c>
    </row>
    <row r="426" spans="1:8" ht="14.1" customHeight="1">
      <c r="B426" s="270" t="s">
        <v>392</v>
      </c>
      <c r="C426" s="271" t="s">
        <v>332</v>
      </c>
      <c r="D426" s="271">
        <f>+input!C87*input!C84</f>
        <v>120</v>
      </c>
    </row>
    <row r="427" spans="1:8" ht="14.1" customHeight="1">
      <c r="B427" s="270" t="s">
        <v>396</v>
      </c>
      <c r="C427" s="271" t="s">
        <v>332</v>
      </c>
      <c r="D427" s="271">
        <f>+input!D87*input!D84</f>
        <v>1086</v>
      </c>
    </row>
    <row r="428" spans="1:8" ht="14.1" customHeight="1">
      <c r="B428" s="270" t="s">
        <v>457</v>
      </c>
      <c r="C428" s="271" t="s">
        <v>332</v>
      </c>
      <c r="D428" s="260" t="str">
        <f>+CONCATENATE(D426,"/(2π x 50 x ",D427,")")</f>
        <v>120/(2π x 50 x 1086)</v>
      </c>
      <c r="F428" s="271" t="s">
        <v>332</v>
      </c>
      <c r="G428" s="277">
        <f>+D427*1000/D426/2/PI()/50</f>
        <v>28.807044699633057</v>
      </c>
      <c r="H428" s="260" t="s">
        <v>460</v>
      </c>
    </row>
    <row r="429" spans="1:8" ht="14.1" customHeight="1">
      <c r="B429" s="270" t="s">
        <v>463</v>
      </c>
      <c r="C429" s="271" t="s">
        <v>332</v>
      </c>
      <c r="D429" s="260" t="str">
        <f>+CONCATENATE(ROUND(G428,3),"/2")</f>
        <v>28.807/2</v>
      </c>
      <c r="E429" s="260" t="s">
        <v>332</v>
      </c>
      <c r="F429" s="260">
        <f>+G428/2</f>
        <v>14.403522349816528</v>
      </c>
      <c r="G429" s="260" t="s">
        <v>460</v>
      </c>
    </row>
    <row r="431" spans="1:8" ht="14.1" customHeight="1">
      <c r="A431" s="264">
        <v>6</v>
      </c>
      <c r="B431" s="267" t="s">
        <v>468</v>
      </c>
    </row>
    <row r="432" spans="1:8" ht="7.5" customHeight="1"/>
    <row r="433" spans="1:9" ht="14.1" customHeight="1">
      <c r="B433" s="260" t="s">
        <v>329</v>
      </c>
    </row>
    <row r="435" spans="1:9" ht="14.1" customHeight="1">
      <c r="A435" s="264">
        <v>7</v>
      </c>
      <c r="B435" s="267" t="s">
        <v>469</v>
      </c>
      <c r="I435" s="134"/>
    </row>
    <row r="436" spans="1:9" ht="9.75" customHeight="1"/>
    <row r="437" spans="1:9" ht="14.1" customHeight="1">
      <c r="B437" s="260" t="s">
        <v>329</v>
      </c>
    </row>
  </sheetData>
  <sheetProtection algorithmName="SHA-512" hashValue="dKUbR2uNNK/Mkv94AA2OlGWHDzxHeZXwDlllwvCaBnc4x6i1qczi3d+nsoqkL3i1/RiB3sU6Llk26INFHxbgsA==" saltValue="KIF0ZJe1TYQRbuWhQhC2nA==" spinCount="100000" sheet="1" objects="1" scenarios="1"/>
  <mergeCells count="3">
    <mergeCell ref="C4:D4"/>
    <mergeCell ref="F4:G4"/>
    <mergeCell ref="F405:G405"/>
  </mergeCells>
  <printOptions horizontalCentered="1"/>
  <pageMargins left="0.78740157480314998" right="0.39370078740157499" top="6.4960630000000005E-2" bottom="0" header="0.196850393700787" footer="0.15748031496063"/>
  <pageSetup paperSize="9" fitToHeight="7" orientation="portrait" blackAndWhite="1" horizontalDpi="4294967295" verticalDpi="4294967295" r:id="rId1"/>
  <headerFooter>
    <oddFooter>&amp;L&amp;"Arial,Italic"&amp;6&amp;Z&amp;F&amp;RPg-&amp;P/&amp;N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A554D6F6A4ED94EB0B59504E34B19E9" ma:contentTypeVersion="0" ma:contentTypeDescription="Create a new document." ma:contentTypeScope="" ma:versionID="2550903699e177c59931fe50c8f642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2FA5F-685B-412E-9DDE-6D146266CE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2D9E651-1BF9-44FE-B985-F3EF165BC2E9}">
  <ds:schemaRefs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www.w3.org/XML/1998/namespace"/>
    <ds:schemaRef ds:uri="http://purl.org/dc/dcmitype/"/>
    <ds:schemaRef ds:uri="http://purl.org/dc/terms/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E470AC4-1DE2-4924-83B8-E470C80F8A4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TESTING</vt:lpstr>
      <vt:lpstr>input</vt:lpstr>
      <vt:lpstr>tr</vt:lpstr>
      <vt:lpstr>sod</vt:lpstr>
      <vt:lpstr>god</vt:lpstr>
      <vt:lpstr>CALCULATION</vt:lpstr>
      <vt:lpstr>cell_rnd</vt:lpstr>
      <vt:lpstr>TESTING!cell_seq</vt:lpstr>
      <vt:lpstr>cidate</vt:lpstr>
      <vt:lpstr>citestby</vt:lpstr>
      <vt:lpstr>ciwitnessby</vt:lpstr>
      <vt:lpstr>customer</vt:lpstr>
      <vt:lpstr>ihdate</vt:lpstr>
      <vt:lpstr>ihtestby</vt:lpstr>
      <vt:lpstr>irbd_src</vt:lpstr>
      <vt:lpstr>input!Print_Area</vt:lpstr>
      <vt:lpstr>TESTING!Print_Area</vt:lpstr>
      <vt:lpstr>tr!Print_Area</vt:lpstr>
      <vt:lpstr>CALCULATION!Print_Titles</vt:lpstr>
      <vt:lpstr>god!Print_Titles</vt:lpstr>
      <vt:lpstr>sod!Print_Titles</vt:lpstr>
      <vt:lpstr>tr!Print_Titles</vt:lpstr>
      <vt:lpstr>setno</vt:lpstr>
      <vt:lpstr>setno2</vt:lpstr>
      <vt:lpstr>setno3</vt:lpstr>
      <vt:lpstr>slno</vt:lpstr>
      <vt:lpstr>slno2</vt:lpstr>
      <vt:lpstr>slno3</vt:lpstr>
      <vt:lpstr>workorder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Testing</dc:creator>
  <cp:lastModifiedBy>NITESH KUMAR ANAND 6193811</cp:lastModifiedBy>
  <cp:lastPrinted>2018-10-29T07:52:53Z</cp:lastPrinted>
  <dcterms:created xsi:type="dcterms:W3CDTF">2017-10-24T02:52:22Z</dcterms:created>
  <dcterms:modified xsi:type="dcterms:W3CDTF">2019-01-19T09:49:34Z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0x0101006A554D6F6A4ED94EB0B59504E34B19E9</vt:lpwstr>
  </property>
</Properties>
</file>